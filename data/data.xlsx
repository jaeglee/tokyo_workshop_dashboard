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martinez373_gatech_edu/Documents/"/>
    </mc:Choice>
  </mc:AlternateContent>
  <xr:revisionPtr revIDLastSave="0" documentId="8_{417782F2-97C2-45B2-9B17-CA8E4141FF64}" xr6:coauthVersionLast="47" xr6:coauthVersionMax="47" xr10:uidLastSave="{00000000-0000-0000-0000-000000000000}"/>
  <bookViews>
    <workbookView xWindow="0" yWindow="600" windowWidth="28800" windowHeight="15940" tabRatio="500" firstSheet="3" activeTab="3" xr2:uid="{00000000-000D-0000-FFFF-FFFF00000000}"/>
  </bookViews>
  <sheets>
    <sheet name="Property Value Estimates" sheetId="1" r:id="rId1"/>
    <sheet name="Building Age &amp; Tier" sheetId="2" r:id="rId2"/>
    <sheet name="Revitalization Cost" sheetId="3" r:id="rId3"/>
    <sheet name="Graph Examples" sheetId="4" r:id="rId4"/>
    <sheet name="Sheet1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0" i="3" l="1"/>
  <c r="T17" i="3" s="1"/>
  <c r="S10" i="3"/>
  <c r="S20" i="3" s="1"/>
  <c r="R10" i="3"/>
  <c r="P10" i="3"/>
  <c r="O10" i="3"/>
  <c r="O19" i="3" s="1"/>
  <c r="N10" i="3"/>
  <c r="N35" i="3" s="1"/>
  <c r="T15" i="3"/>
  <c r="T16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S14" i="3"/>
  <c r="S15" i="3"/>
  <c r="S16" i="3"/>
  <c r="S17" i="3"/>
  <c r="S18" i="3"/>
  <c r="S19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T13" i="3"/>
  <c r="S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13" i="3"/>
  <c r="O14" i="3"/>
  <c r="O15" i="3"/>
  <c r="O16" i="3"/>
  <c r="O17" i="3"/>
  <c r="O18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K10" i="3"/>
  <c r="D41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D9" i="3"/>
  <c r="D42" i="3" s="1"/>
  <c r="D8" i="3"/>
  <c r="D7" i="3"/>
  <c r="D40" i="3" s="1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C6" i="2"/>
  <c r="C5" i="2"/>
  <c r="B42" i="1"/>
  <c r="C41" i="1"/>
  <c r="B41" i="1"/>
  <c r="B40" i="1"/>
  <c r="B39" i="1"/>
  <c r="B43" i="1" s="1"/>
  <c r="K34" i="1"/>
  <c r="N33" i="1"/>
  <c r="E34" i="3" s="1"/>
  <c r="F34" i="3" s="1"/>
  <c r="M33" i="1"/>
  <c r="H33" i="1"/>
  <c r="G33" i="1"/>
  <c r="N32" i="1"/>
  <c r="E33" i="3" s="1"/>
  <c r="F33" i="3" s="1"/>
  <c r="M32" i="1"/>
  <c r="L32" i="1"/>
  <c r="E42" i="1" s="1"/>
  <c r="G32" i="1"/>
  <c r="N31" i="1"/>
  <c r="E32" i="3" s="1"/>
  <c r="M31" i="1"/>
  <c r="H31" i="1"/>
  <c r="G31" i="1"/>
  <c r="N30" i="1"/>
  <c r="E31" i="3" s="1"/>
  <c r="F31" i="3" s="1"/>
  <c r="M30" i="1"/>
  <c r="L30" i="1"/>
  <c r="I30" i="1"/>
  <c r="H30" i="1"/>
  <c r="G30" i="1"/>
  <c r="N29" i="1"/>
  <c r="E30" i="3" s="1"/>
  <c r="F30" i="3" s="1"/>
  <c r="M29" i="1"/>
  <c r="L29" i="1"/>
  <c r="H29" i="1"/>
  <c r="I29" i="1" s="1"/>
  <c r="G29" i="1"/>
  <c r="N28" i="1"/>
  <c r="E29" i="3" s="1"/>
  <c r="F29" i="3" s="1"/>
  <c r="M28" i="1"/>
  <c r="G28" i="1"/>
  <c r="N27" i="1"/>
  <c r="E28" i="3" s="1"/>
  <c r="F28" i="3" s="1"/>
  <c r="M27" i="1"/>
  <c r="L27" i="1"/>
  <c r="I27" i="1"/>
  <c r="H27" i="1"/>
  <c r="G27" i="1"/>
  <c r="N26" i="1"/>
  <c r="E27" i="3" s="1"/>
  <c r="M26" i="1"/>
  <c r="L26" i="1"/>
  <c r="H26" i="1"/>
  <c r="G26" i="1"/>
  <c r="C27" i="3" s="1"/>
  <c r="N25" i="1"/>
  <c r="E26" i="3" s="1"/>
  <c r="F26" i="3" s="1"/>
  <c r="M25" i="1"/>
  <c r="H25" i="1"/>
  <c r="G25" i="1"/>
  <c r="N24" i="1"/>
  <c r="E25" i="3" s="1"/>
  <c r="M24" i="1"/>
  <c r="L24" i="1"/>
  <c r="I24" i="1"/>
  <c r="H24" i="1"/>
  <c r="G24" i="1"/>
  <c r="N23" i="1"/>
  <c r="E24" i="3" s="1"/>
  <c r="M23" i="1"/>
  <c r="G23" i="1"/>
  <c r="N22" i="1"/>
  <c r="E23" i="3" s="1"/>
  <c r="F23" i="3" s="1"/>
  <c r="M22" i="1"/>
  <c r="H22" i="1"/>
  <c r="G22" i="1"/>
  <c r="N21" i="1"/>
  <c r="E22" i="3" s="1"/>
  <c r="F22" i="3" s="1"/>
  <c r="M21" i="1"/>
  <c r="L21" i="1"/>
  <c r="E41" i="1" s="1"/>
  <c r="H21" i="1"/>
  <c r="I21" i="1" s="1"/>
  <c r="G21" i="1"/>
  <c r="N20" i="1"/>
  <c r="E21" i="3" s="1"/>
  <c r="F21" i="3" s="1"/>
  <c r="M20" i="1"/>
  <c r="L20" i="1"/>
  <c r="H20" i="1"/>
  <c r="G20" i="1"/>
  <c r="N19" i="1"/>
  <c r="E20" i="3" s="1"/>
  <c r="M19" i="1"/>
  <c r="L19" i="1"/>
  <c r="G19" i="1"/>
  <c r="N18" i="1"/>
  <c r="E19" i="3" s="1"/>
  <c r="F19" i="3" s="1"/>
  <c r="M18" i="1"/>
  <c r="L18" i="1"/>
  <c r="H18" i="1"/>
  <c r="I18" i="1" s="1"/>
  <c r="G18" i="1"/>
  <c r="N17" i="1"/>
  <c r="E18" i="3" s="1"/>
  <c r="F18" i="3" s="1"/>
  <c r="G18" i="3" s="1"/>
  <c r="M17" i="1"/>
  <c r="G17" i="1"/>
  <c r="N16" i="1"/>
  <c r="E17" i="3" s="1"/>
  <c r="M16" i="1"/>
  <c r="L16" i="1"/>
  <c r="I16" i="1"/>
  <c r="H16" i="1"/>
  <c r="G16" i="1"/>
  <c r="N15" i="1"/>
  <c r="E16" i="3" s="1"/>
  <c r="F16" i="3" s="1"/>
  <c r="G16" i="3" s="1"/>
  <c r="M15" i="1"/>
  <c r="H15" i="1"/>
  <c r="I15" i="1" s="1"/>
  <c r="G15" i="1"/>
  <c r="N14" i="1"/>
  <c r="E15" i="3" s="1"/>
  <c r="F15" i="3" s="1"/>
  <c r="M14" i="1"/>
  <c r="I14" i="1"/>
  <c r="J14" i="1" s="1"/>
  <c r="H14" i="1"/>
  <c r="G14" i="1"/>
  <c r="N13" i="1"/>
  <c r="E14" i="3" s="1"/>
  <c r="F14" i="3" s="1"/>
  <c r="G14" i="3" s="1"/>
  <c r="M13" i="1"/>
  <c r="L13" i="1"/>
  <c r="G13" i="1"/>
  <c r="N12" i="1"/>
  <c r="E13" i="3" s="1"/>
  <c r="M12" i="1"/>
  <c r="H12" i="1"/>
  <c r="G12" i="1"/>
  <c r="B8" i="1"/>
  <c r="H32" i="1" s="1"/>
  <c r="I32" i="1" s="1"/>
  <c r="B6" i="1"/>
  <c r="H19" i="1" s="1"/>
  <c r="I19" i="1" s="1"/>
  <c r="T14" i="3" l="1"/>
  <c r="T18" i="3"/>
  <c r="S21" i="3"/>
  <c r="O20" i="3"/>
  <c r="F24" i="3"/>
  <c r="F17" i="3"/>
  <c r="F25" i="3"/>
  <c r="F20" i="3"/>
  <c r="F27" i="3"/>
  <c r="G27" i="3" s="1"/>
  <c r="I27" i="3" s="1"/>
  <c r="F32" i="3"/>
  <c r="J29" i="1"/>
  <c r="J15" i="1"/>
  <c r="J19" i="1"/>
  <c r="J32" i="1"/>
  <c r="D42" i="1" s="1"/>
  <c r="I14" i="3"/>
  <c r="H14" i="3"/>
  <c r="I16" i="3"/>
  <c r="H16" i="3"/>
  <c r="I18" i="3"/>
  <c r="H18" i="3"/>
  <c r="J21" i="1"/>
  <c r="D41" i="1" s="1"/>
  <c r="B43" i="3"/>
  <c r="B41" i="3"/>
  <c r="F13" i="3"/>
  <c r="B40" i="3"/>
  <c r="B42" i="3"/>
  <c r="J18" i="1"/>
  <c r="H13" i="1"/>
  <c r="I12" i="1"/>
  <c r="L14" i="1"/>
  <c r="L12" i="1"/>
  <c r="H17" i="1"/>
  <c r="I17" i="1"/>
  <c r="I25" i="1"/>
  <c r="I33" i="1"/>
  <c r="C44" i="2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34" i="3"/>
  <c r="H23" i="1"/>
  <c r="J16" i="1"/>
  <c r="L17" i="1"/>
  <c r="E40" i="1" s="1"/>
  <c r="I23" i="1"/>
  <c r="J24" i="1"/>
  <c r="L25" i="1"/>
  <c r="I31" i="1"/>
  <c r="L33" i="1"/>
  <c r="B45" i="2"/>
  <c r="C33" i="3"/>
  <c r="I22" i="1"/>
  <c r="C45" i="2"/>
  <c r="C32" i="3"/>
  <c r="C39" i="1"/>
  <c r="I13" i="1"/>
  <c r="L15" i="1"/>
  <c r="L23" i="1"/>
  <c r="H28" i="1"/>
  <c r="I28" i="1" s="1"/>
  <c r="J30" i="1"/>
  <c r="L31" i="1"/>
  <c r="B43" i="2"/>
  <c r="B47" i="2" s="1"/>
  <c r="C31" i="3"/>
  <c r="I20" i="1"/>
  <c r="L22" i="1"/>
  <c r="G34" i="1"/>
  <c r="C43" i="2"/>
  <c r="B46" i="2"/>
  <c r="C30" i="3"/>
  <c r="C46" i="2"/>
  <c r="C29" i="3"/>
  <c r="I26" i="1"/>
  <c r="J27" i="1"/>
  <c r="L28" i="1"/>
  <c r="C40" i="1"/>
  <c r="C42" i="1"/>
  <c r="B44" i="2"/>
  <c r="C28" i="3"/>
  <c r="G31" i="3" l="1"/>
  <c r="I31" i="3" s="1"/>
  <c r="G34" i="3"/>
  <c r="I34" i="3" s="1"/>
  <c r="G22" i="3"/>
  <c r="I22" i="3" s="1"/>
  <c r="C43" i="3"/>
  <c r="G29" i="3"/>
  <c r="I29" i="3" s="1"/>
  <c r="G33" i="3"/>
  <c r="I33" i="3" s="1"/>
  <c r="G21" i="3"/>
  <c r="I21" i="3" s="1"/>
  <c r="C42" i="3"/>
  <c r="C41" i="3"/>
  <c r="G20" i="3"/>
  <c r="I20" i="3" s="1"/>
  <c r="G28" i="3"/>
  <c r="I28" i="3" s="1"/>
  <c r="G26" i="3"/>
  <c r="I26" i="3" s="1"/>
  <c r="G25" i="3"/>
  <c r="I25" i="3" s="1"/>
  <c r="G17" i="3"/>
  <c r="I17" i="3" s="1"/>
  <c r="G24" i="3"/>
  <c r="H27" i="3"/>
  <c r="G30" i="3"/>
  <c r="I30" i="3" s="1"/>
  <c r="G32" i="3"/>
  <c r="I32" i="3" s="1"/>
  <c r="G23" i="3"/>
  <c r="I23" i="3" s="1"/>
  <c r="G15" i="3"/>
  <c r="I15" i="3" s="1"/>
  <c r="B44" i="3"/>
  <c r="H30" i="3"/>
  <c r="J28" i="1"/>
  <c r="H34" i="3"/>
  <c r="H23" i="3"/>
  <c r="I24" i="3"/>
  <c r="H24" i="3"/>
  <c r="H22" i="3"/>
  <c r="J13" i="1"/>
  <c r="J17" i="1"/>
  <c r="E43" i="1"/>
  <c r="E39" i="1"/>
  <c r="L34" i="1"/>
  <c r="G19" i="3"/>
  <c r="J26" i="1"/>
  <c r="J20" i="1"/>
  <c r="J25" i="1"/>
  <c r="I34" i="1"/>
  <c r="J12" i="1"/>
  <c r="G13" i="3"/>
  <c r="C43" i="1"/>
  <c r="C35" i="3"/>
  <c r="D28" i="3" s="1"/>
  <c r="C40" i="3"/>
  <c r="H20" i="3"/>
  <c r="C47" i="2"/>
  <c r="J22" i="1"/>
  <c r="J23" i="1"/>
  <c r="J31" i="1"/>
  <c r="J33" i="1"/>
  <c r="J28" i="3" l="1"/>
  <c r="N28" i="3"/>
  <c r="L28" i="3"/>
  <c r="K28" i="3"/>
  <c r="H25" i="3"/>
  <c r="H17" i="3"/>
  <c r="H31" i="3"/>
  <c r="H29" i="3"/>
  <c r="H15" i="3"/>
  <c r="D24" i="3"/>
  <c r="D14" i="3"/>
  <c r="H32" i="3"/>
  <c r="D13" i="3"/>
  <c r="D22" i="3"/>
  <c r="H26" i="3"/>
  <c r="C44" i="3"/>
  <c r="H33" i="3"/>
  <c r="D32" i="3"/>
  <c r="D26" i="3"/>
  <c r="D21" i="3"/>
  <c r="D35" i="3"/>
  <c r="D27" i="3"/>
  <c r="D23" i="3"/>
  <c r="D16" i="3"/>
  <c r="H28" i="3"/>
  <c r="H21" i="3"/>
  <c r="D17" i="3"/>
  <c r="D33" i="3"/>
  <c r="D34" i="3"/>
  <c r="D18" i="3"/>
  <c r="D19" i="3"/>
  <c r="D30" i="3"/>
  <c r="D25" i="3"/>
  <c r="D29" i="3"/>
  <c r="D31" i="3"/>
  <c r="D15" i="3"/>
  <c r="D20" i="3"/>
  <c r="D40" i="1"/>
  <c r="D46" i="2"/>
  <c r="D44" i="2"/>
  <c r="G35" i="3"/>
  <c r="I13" i="3"/>
  <c r="H13" i="3"/>
  <c r="D43" i="2"/>
  <c r="I19" i="3"/>
  <c r="H19" i="3"/>
  <c r="J34" i="1"/>
  <c r="D39" i="1"/>
  <c r="D43" i="1" s="1"/>
  <c r="D45" i="2"/>
  <c r="J19" i="3" l="1"/>
  <c r="N19" i="3"/>
  <c r="L19" i="3"/>
  <c r="K19" i="3"/>
  <c r="N23" i="3"/>
  <c r="L23" i="3"/>
  <c r="J23" i="3"/>
  <c r="K23" i="3"/>
  <c r="J18" i="3"/>
  <c r="N18" i="3"/>
  <c r="L18" i="3"/>
  <c r="K18" i="3"/>
  <c r="J27" i="3"/>
  <c r="N27" i="3"/>
  <c r="L27" i="3"/>
  <c r="K27" i="3"/>
  <c r="N22" i="3"/>
  <c r="L22" i="3"/>
  <c r="J22" i="3"/>
  <c r="K22" i="3"/>
  <c r="J33" i="3"/>
  <c r="N33" i="3"/>
  <c r="L33" i="3"/>
  <c r="K33" i="3"/>
  <c r="O13" i="3"/>
  <c r="L13" i="3"/>
  <c r="J13" i="3"/>
  <c r="N13" i="3"/>
  <c r="K13" i="3"/>
  <c r="N15" i="3"/>
  <c r="L15" i="3"/>
  <c r="J15" i="3"/>
  <c r="K15" i="3"/>
  <c r="N21" i="3"/>
  <c r="L21" i="3"/>
  <c r="J21" i="3"/>
  <c r="K21" i="3"/>
  <c r="N31" i="3"/>
  <c r="L31" i="3"/>
  <c r="J31" i="3"/>
  <c r="K31" i="3"/>
  <c r="J17" i="3"/>
  <c r="N17" i="3"/>
  <c r="L17" i="3"/>
  <c r="K17" i="3"/>
  <c r="J26" i="3"/>
  <c r="N26" i="3"/>
  <c r="L26" i="3"/>
  <c r="K26" i="3"/>
  <c r="N14" i="3"/>
  <c r="L14" i="3"/>
  <c r="J14" i="3"/>
  <c r="K14" i="3"/>
  <c r="N29" i="3"/>
  <c r="L29" i="3"/>
  <c r="J29" i="3"/>
  <c r="K29" i="3"/>
  <c r="J32" i="3"/>
  <c r="N32" i="3"/>
  <c r="L32" i="3"/>
  <c r="K32" i="3"/>
  <c r="J24" i="3"/>
  <c r="N24" i="3"/>
  <c r="L24" i="3"/>
  <c r="K24" i="3"/>
  <c r="J20" i="3"/>
  <c r="N20" i="3"/>
  <c r="L20" i="3"/>
  <c r="K20" i="3"/>
  <c r="J34" i="3"/>
  <c r="N34" i="3"/>
  <c r="L34" i="3"/>
  <c r="K34" i="3"/>
  <c r="J35" i="3"/>
  <c r="L35" i="3"/>
  <c r="K35" i="3"/>
  <c r="J25" i="3"/>
  <c r="N25" i="3"/>
  <c r="L25" i="3"/>
  <c r="K25" i="3"/>
  <c r="N30" i="3"/>
  <c r="L30" i="3"/>
  <c r="J30" i="3"/>
  <c r="K30" i="3"/>
  <c r="J16" i="3"/>
  <c r="N16" i="3"/>
  <c r="L16" i="3"/>
  <c r="K16" i="3"/>
  <c r="E40" i="3"/>
  <c r="H35" i="3"/>
  <c r="E42" i="3"/>
  <c r="E41" i="3"/>
  <c r="D47" i="2"/>
  <c r="E44" i="3" l="1"/>
</calcChain>
</file>

<file path=xl/sharedStrings.xml><?xml version="1.0" encoding="utf-8"?>
<sst xmlns="http://schemas.openxmlformats.org/spreadsheetml/2006/main" count="319" uniqueCount="145">
  <si>
    <t>Property Value Estimates — Sample Buildings, Nihonbashi District 2</t>
  </si>
  <si>
    <t>ASSUMPTIONS — Property Value Rate by Use Type (¥/m²)</t>
  </si>
  <si>
    <t>Use Type</t>
  </si>
  <si>
    <t>Rate (¥/m²)</t>
  </si>
  <si>
    <t>Basis / Source</t>
  </si>
  <si>
    <t>Office</t>
  </si>
  <si>
    <t>Office Grade B Tokyo 23-ku: ¥7,338/m²/mo (CBRE Q1 2026) × 12 ÷ 3.15% office cap rate (CBRE Q1 2026)</t>
  </si>
  <si>
    <t>Residence &amp; Commercial Mixed</t>
  </si>
  <si>
    <t>Placeholder: average of Office and Apartment rates, pending per-building floor-use mix from occupancy data</t>
  </si>
  <si>
    <t>Apartment</t>
  </si>
  <si>
    <t>Residential, SUUMO Nihonbashi: ¥5,469/m²/mo × 12 ÷ 3.60% avg residential cap rate (CBRE Q1 2026)</t>
  </si>
  <si>
    <t>Public</t>
  </si>
  <si>
    <t>Placeholder for renovation-cost estimation: public buildings aren't market-traded, so this links to the Office rate (civic/institutional buildings are typically built to office-grade specs). Replace once building-specific data is available.</t>
  </si>
  <si>
    <t>BUILDING SAMPLE — 22 Buildings, District 2</t>
  </si>
  <si>
    <t>ID</t>
  </si>
  <si>
    <t>Use Code</t>
  </si>
  <si>
    <t>Floors</t>
  </si>
  <si>
    <t>Height (m)</t>
  </si>
  <si>
    <t>Footprint Area (m²)</t>
  </si>
  <si>
    <t>GFA (m²)</t>
  </si>
  <si>
    <t>Value Rate (¥/m²)</t>
  </si>
  <si>
    <t>Est. Property Value (¥)</t>
  </si>
  <si>
    <t>Est. Property Value (¥M)</t>
  </si>
  <si>
    <t>Site/Lot Area (m²)</t>
  </si>
  <si>
    <t>FAR (Current)</t>
  </si>
  <si>
    <t>Built Year</t>
  </si>
  <si>
    <t>Tier (Age-Based)</t>
  </si>
  <si>
    <t>TOTAL</t>
  </si>
  <si>
    <t>Note: Public building (id 5039) uses the Office rate as a renovation-cost placeholder (see Assumptions). Its value is included in totals below — replace the Public rate in the Assumptions block once a building-specific estimate is available.</t>
  </si>
  <si>
    <t>SUMMARY BY USE TYPE</t>
  </si>
  <si>
    <t>Count</t>
  </si>
  <si>
    <t>Total GFA (m²)</t>
  </si>
  <si>
    <t>Total Est. Value (¥M)</t>
  </si>
  <si>
    <t>Avg FAR</t>
  </si>
  <si>
    <t>METHODOLOGY NOTES</t>
  </si>
  <si>
    <t>GFA (m²) = Footprint Area (m²) × Floors. This assumes a constant floor plate across all stories; treat as a first-order approximation.</t>
  </si>
  <si>
    <t>Value Rate is looked up by Use Type from the Assumptions block above — update the blue cells there to re-run all 22 buildings instantly.</t>
  </si>
  <si>
    <t>"Residence &amp; Commercial Mixed" uses a placeholder rate (average of Office and Apartment). Replace with a floor-area-weighted rate per</t>
  </si>
  <si>
    <t xml:space="preserve">  building once per-floor use mix is available from occupancy data.</t>
  </si>
  <si>
    <t>"Public" (id 5039) has no market value, so its rate is a placeholder linked to the Office rate, for renovation-cost estimation only.</t>
  </si>
  <si>
    <t xml:space="preserve">  Update the Public rate cell directly if a more building-specific renovation-cost basis becomes available.</t>
  </si>
  <si>
    <t>Rates derived from CBRE Q1 2026 (Office, Cap Rates) and SUUMO Nihonbashi listings (Residential); see Assumptions block for full citations.</t>
  </si>
  <si>
    <t>FAR (Current) = GFA / Site-Lot Area. Site/Lot Area defaults to Footprint Area (blue, editable) as a placeholder — replace with actual</t>
  </si>
  <si>
    <t xml:space="preserve">  parcel/lot area from cadastral data once available; FAR will recalculate automatically.</t>
  </si>
  <si>
    <t>If Site/Lot Area = Footprint Area (no setback, 100% lot coverage), FAR (Current) reduces to the number of floors.</t>
  </si>
  <si>
    <t>Built Year and Tier are looked up from the "Building Age &amp; Tier" sheet, matched against Nihonbashi_building_ages.xls by footprint</t>
  </si>
  <si>
    <t xml:space="preserve">  geometry (Shape_Area / Shape_Leng / Floors). 3 of 22 buildings (2563, 3042, 3065) had no reliable geometric match — see that sheet</t>
  </si>
  <si>
    <t xml:space="preserve">  for details and next steps.</t>
  </si>
  <si>
    <t>Building Age &amp; Tier Classification — matched via footprint geometry (Shape_Area / Shape_Leng / Floors)</t>
  </si>
  <si>
    <t>TIER CLASSIFICATION CRITERIA (Alorabi et al., 2025)</t>
  </si>
  <si>
    <t>Current Year (for age calc)</t>
  </si>
  <si>
    <t>Tier</t>
  </si>
  <si>
    <t>Built Year ≤</t>
  </si>
  <si>
    <t>Age at Threshold (yrs)</t>
  </si>
  <si>
    <t>Typical Age</t>
  </si>
  <si>
    <t>Required Action</t>
  </si>
  <si>
    <t>Reconstruct</t>
  </si>
  <si>
    <t>40+ years</t>
  </si>
  <si>
    <t>Demolish &amp; Rebuild</t>
  </si>
  <si>
    <t>Renovate</t>
  </si>
  <si>
    <t>20-40 years</t>
  </si>
  <si>
    <t>Structural/System Upgrades</t>
  </si>
  <si>
    <t>Maintenance</t>
  </si>
  <si>
    <t>&gt; 2000</t>
  </si>
  <si>
    <t>&lt; 20 years</t>
  </si>
  <si>
    <t>Maintain; Energy Upgrades</t>
  </si>
  <si>
    <t>BUILDING AGE MATCH — 22 Buildings</t>
  </si>
  <si>
    <t>Match Status</t>
  </si>
  <si>
    <t>Matched KEYID
(ages file)</t>
  </si>
  <si>
    <t>Ages MainUse
(QA)</t>
  </si>
  <si>
    <t>Building Age
(yrs)</t>
  </si>
  <si>
    <t>Matched (Δarea &lt; 0.001 m²)</t>
  </si>
  <si>
    <t>No match found — verify manually</t>
  </si>
  <si>
    <t>Resid</t>
  </si>
  <si>
    <t>UNMATCHED BUILDINGS — MANUAL VERIFICATION NEEDED</t>
  </si>
  <si>
    <t>ID 2563 (Residence &amp; Commercial Mixed, 2 floors, 41.05 m²): closest geometric candidate is KEYID 265 (5 floors, Office, 41.87 m², Δarea=0.82) — floor count mismatch, rejected.</t>
  </si>
  <si>
    <t>ID 3042 (Office, 6 floors, 555.54 m²): closest geometric candidate is KEYID 256 (9 floors, Office, 549.44 m², Δarea=6.10) — floor count mismatch, rejected.</t>
  </si>
  <si>
    <t>ID 3065 (Residence &amp; Commercial Mixed, 3 floors, 59.18 m²): closest geometric candidate is KEYID 250 (4 floors, Office, 59.13 m², Δarea=0.05) — floor count mismatch, rejected.</t>
  </si>
  <si>
    <t>These 3 buildings may sit outside the 154-building "Building_EastModelDistrict_Curr" footprint, or have been re-surveyed/modified since that dataset was captured. Enter Built Year manually in column G (row above) once confirmed — Building Age and Tier will recalculate automatically.</t>
  </si>
  <si>
    <t>SUMMARY BY TIER</t>
  </si>
  <si>
    <t>TBD</t>
  </si>
  <si>
    <t>Matching: each of the 22 sample buildings was matched to Nihonbashi_building_ages.xls (154 buildings) by nearest Shape_Area and Shape_Leng (footprint geometry). 19 of 22 matched to Δarea &lt; 0.001 m² (effectively exact); 3 had no reliable match (see above).</t>
  </si>
  <si>
    <t>Built Year is the matched record's "Age" field from the source file, which is a construction year (e.g. 1978, 2009), not a year-count.</t>
  </si>
  <si>
    <t>Tier thresholds (Built Year ≤ 1980 / ≤ 2000 / &gt; 2000) and actions follow the Reconstruct / Renovate / Maintenance classification (Alorabi et al., 2025). Adjust the blue threshold cells above to re-run all 22 buildings instantly.</t>
  </si>
  <si>
    <t>The Property Value Estimates sheet pulls Built Year and Tier from this sheet via VLOOKUP on ID — update Built Year for the 3 unmatched buildings (column G, rows above) once confirmed, and both sheets recalculate.</t>
  </si>
  <si>
    <t>Revitalization Cost Estimate — by Tier &amp; GFA (illustrative, pre-teammate-data)</t>
  </si>
  <si>
    <t>COST ASSUMPTIONS — Revitalization Unit Cost by Tier (¥/m²)</t>
  </si>
  <si>
    <t>Base reconstruction unit cost (¥/m²)</t>
  </si>
  <si>
    <t>MLIT 2022 detached-house survey, prefab/steel-frame avg ¥302,655/m² (kojinjutaku_report_2022) — proxy for steel/RC office new-build</t>
  </si>
  <si>
    <t>Scope of Work</t>
  </si>
  <si>
    <t>% of Reconstruction</t>
  </si>
  <si>
    <t>Unit Cost (¥/m²)</t>
  </si>
  <si>
    <t>1*160.31</t>
  </si>
  <si>
    <t>Demolish &amp; full rebuild; structure, envelope, services, finishes, external works</t>
  </si>
  <si>
    <t>kWh</t>
  </si>
  <si>
    <t>convert to Yen</t>
  </si>
  <si>
    <t>Envelope upgrade (R-value, U-value, WWR), HVAC replacement, programmatic/FAR changes</t>
  </si>
  <si>
    <t>Minor envelope, lighting retrofit, HVAC tuning, optional rooftop PV</t>
  </si>
  <si>
    <t>Annual Total Energy/GFA</t>
  </si>
  <si>
    <t>Annual Energy From Renewables/ GFA</t>
  </si>
  <si>
    <t>Carbon Emmissions Annual (Tonnes) W/DER</t>
  </si>
  <si>
    <t>Carbon Emmissions Annual (Tons) W/O DER</t>
  </si>
  <si>
    <t>DER Captial Expenditures</t>
  </si>
  <si>
    <t>Electrcity Bill W/DER</t>
  </si>
  <si>
    <t>Electrcity Bill W/O DER</t>
  </si>
  <si>
    <t>Operation &amp; Maintenance Cost W/O DER</t>
  </si>
  <si>
    <t>Operation &amp; Maintenance Cost W/DER</t>
  </si>
  <si>
    <t>Energy Lifecycle Cost W/O DER</t>
  </si>
  <si>
    <t>Energy Lifecycle Cost W/DER</t>
  </si>
  <si>
    <t>PER-BUILDING REVITALIZATION COST — 22 Buildings</t>
  </si>
  <si>
    <t>Share of total Area</t>
  </si>
  <si>
    <t>Est. Revitalization Cost (¥)</t>
  </si>
  <si>
    <t>Est. Cost (¥M)</t>
  </si>
  <si>
    <t>Cost per m² check</t>
  </si>
  <si>
    <t>Carbon Emmissions Annual (Tons) W/DER</t>
  </si>
  <si>
    <t>Energy Bill W/DER</t>
  </si>
  <si>
    <t>Energy Bill W/O DER</t>
  </si>
  <si>
    <t>Note: TBD = tier not yet determined (3 unmatched buildings, see Building Age &amp; Tier sheet). TBD buildings are excluded from cost totals until a Built Year is entered.</t>
  </si>
  <si>
    <t>Total Cost (¥M)</t>
  </si>
  <si>
    <t>-</t>
  </si>
  <si>
    <t>Reconstruction unit cost (¥302,000/m²) is the MLIT 2022 detached-house survey prefab/steel-frame average (¥302,655/m²),</t>
  </si>
  <si>
    <t xml:space="preserve">  used as a proxy for steel/RC office new-build. Edit cell E4 to substitute a building-specific or escalated figure.</t>
  </si>
  <si>
    <t>Renovation = 45% and Maintenance = 15% of the reconstruction unit cost (editable in C8 / C9). Ratios reflect scope:</t>
  </si>
  <si>
    <t xml:space="preserve">  Renovation covers envelope (R-value/U-value/WWR) + HVAC + programmatic change; Maintenance covers minor envelope,</t>
  </si>
  <si>
    <t xml:space="preserve">  lighting, HVAC tuning, and optional PV. Both preserve the ordering Reconstruct &gt; Renovate &gt; Maintenance.</t>
  </si>
  <si>
    <t>Cost escalation: 2015-base construction indices (kentiku files) sit ~1.42–1.45x in 2026; the ¥302,000/m² figure is treated</t>
  </si>
  <si>
    <t xml:space="preserve">  as a current-yen placeholder. Apply an index multiplier in E4 if a different base year is used.</t>
  </si>
  <si>
    <t>ID, Use, GFA, and Tier are pulled live from the other two sheets — this sheet recalculates when Built Year / tiers update.</t>
  </si>
  <si>
    <t>These are planning-level placeholders pending teammate inputs (occupancy, UBEM, supply); replace with measure-specific</t>
  </si>
  <si>
    <t xml:space="preserve">  costs once available. All values in JPY.</t>
  </si>
  <si>
    <t>Include</t>
  </si>
  <si>
    <t>NOT INCLUDE</t>
  </si>
  <si>
    <t xml:space="preserve"> Annual  Energy (kWh)</t>
  </si>
  <si>
    <t xml:space="preserve">Annual Renewable Energy </t>
  </si>
  <si>
    <t>Emmissions with DER</t>
  </si>
  <si>
    <t>Emmissions  without DER</t>
  </si>
  <si>
    <t xml:space="preserve"> Bill with DER</t>
  </si>
  <si>
    <t xml:space="preserve"> Bill without DER</t>
  </si>
  <si>
    <t>Operation &amp; Maintenance Cost of DER</t>
  </si>
  <si>
    <t>Without DER</t>
  </si>
  <si>
    <t>With DER</t>
  </si>
  <si>
    <t>¥45,300</t>
  </si>
  <si>
    <t>¥18,597,281</t>
  </si>
  <si>
    <t xml:space="preserve"> ¥        1,101,754.91</t>
  </si>
  <si>
    <t xml:space="preserve"> ¥             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</si>
</sst>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¥#,##0;&quot;(¥&quot;#,##0\);\-"/>
    <numFmt numFmtId="165" formatCode="#,##0.0;\(#,##0.0\);\-"/>
    <numFmt numFmtId="166" formatCode="0.00\x"/>
    <numFmt numFmtId="167" formatCode="#,##0;\(#,##0\);\-"/>
    <numFmt numFmtId="168" formatCode="_-[$¥-411]* #,##0.00_-;\-[$¥-411]* #,##0.00_-;_-[$¥-411]* &quot;-&quot;??_-;_-@_-"/>
    <numFmt numFmtId="169" formatCode="_-[$¥-411]* #,##0_-;\-[$¥-411]* #,##0_-;_-[$¥-411]* &quot;-&quot;??_-;_-@_-"/>
  </numFmts>
  <fonts count="16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6B7280"/>
      <name val="Arial"/>
      <family val="2"/>
    </font>
    <font>
      <sz val="11"/>
      <color rgb="FF008000"/>
      <name val="Arial"/>
      <family val="2"/>
    </font>
    <font>
      <b/>
      <sz val="11"/>
      <color rgb="FFCC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1"/>
      <name val="Calibri"/>
      <family val="2"/>
    </font>
    <font>
      <b/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DCE6F1"/>
        <bgColor rgb="FFEFEAF7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EFEAF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thin">
        <color rgb="FFBFBFBF"/>
      </top>
      <bottom style="medium">
        <color indexed="64"/>
      </bottom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 style="thin">
        <color rgb="FFBFBFBF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</borders>
  <cellStyleXfs count="4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</cellStyleXfs>
  <cellXfs count="110">
    <xf numFmtId="0" fontId="0" fillId="0" borderId="0" xfId="0"/>
    <xf numFmtId="0" fontId="4" fillId="3" borderId="1" xfId="0" applyFont="1" applyFill="1" applyBorder="1"/>
    <xf numFmtId="0" fontId="5" fillId="0" borderId="1" xfId="0" applyFont="1" applyBorder="1"/>
    <xf numFmtId="164" fontId="6" fillId="0" borderId="1" xfId="0" applyNumberFormat="1" applyFont="1" applyBorder="1"/>
    <xf numFmtId="164" fontId="5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" fontId="6" fillId="0" borderId="1" xfId="0" applyNumberFormat="1" applyFont="1" applyBorder="1"/>
    <xf numFmtId="165" fontId="6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65" fontId="4" fillId="3" borderId="1" xfId="0" applyNumberFormat="1" applyFont="1" applyFill="1" applyBorder="1"/>
    <xf numFmtId="0" fontId="0" fillId="3" borderId="1" xfId="0" applyFill="1" applyBorder="1"/>
    <xf numFmtId="164" fontId="4" fillId="3" borderId="1" xfId="0" applyNumberFormat="1" applyFont="1" applyFill="1" applyBorder="1"/>
    <xf numFmtId="166" fontId="4" fillId="3" borderId="1" xfId="0" applyNumberFormat="1" applyFont="1" applyFill="1" applyBorder="1"/>
    <xf numFmtId="1" fontId="5" fillId="0" borderId="1" xfId="0" applyNumberFormat="1" applyFont="1" applyBorder="1"/>
    <xf numFmtId="1" fontId="4" fillId="3" borderId="1" xfId="0" applyNumberFormat="1" applyFont="1" applyFill="1" applyBorder="1"/>
    <xf numFmtId="0" fontId="4" fillId="0" borderId="0" xfId="0" applyFont="1"/>
    <xf numFmtId="0" fontId="7" fillId="0" borderId="1" xfId="0" applyFont="1" applyBorder="1"/>
    <xf numFmtId="0" fontId="0" fillId="0" borderId="1" xfId="0" applyBorder="1"/>
    <xf numFmtId="0" fontId="8" fillId="0" borderId="1" xfId="0" applyFont="1" applyBorder="1"/>
    <xf numFmtId="0" fontId="9" fillId="0" borderId="1" xfId="0" applyFont="1" applyBorder="1"/>
    <xf numFmtId="0" fontId="7" fillId="0" borderId="1" xfId="0" applyFont="1" applyBorder="1" applyAlignment="1">
      <alignment vertical="center" wrapText="1"/>
    </xf>
    <xf numFmtId="9" fontId="5" fillId="0" borderId="1" xfId="0" applyNumberFormat="1" applyFont="1" applyBorder="1"/>
    <xf numFmtId="9" fontId="6" fillId="0" borderId="1" xfId="0" applyNumberFormat="1" applyFon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10" fontId="1" fillId="0" borderId="0" xfId="3" applyNumberFormat="1" applyBorder="1"/>
    <xf numFmtId="164" fontId="0" fillId="0" borderId="8" xfId="0" applyNumberFormat="1" applyBorder="1"/>
    <xf numFmtId="165" fontId="4" fillId="3" borderId="10" xfId="0" applyNumberFormat="1" applyFont="1" applyFill="1" applyBorder="1"/>
    <xf numFmtId="9" fontId="1" fillId="0" borderId="11" xfId="3" applyBorder="1"/>
    <xf numFmtId="0" fontId="0" fillId="3" borderId="10" xfId="0" applyFill="1" applyBorder="1"/>
    <xf numFmtId="164" fontId="4" fillId="3" borderId="10" xfId="0" applyNumberFormat="1" applyFont="1" applyFill="1" applyBorder="1"/>
    <xf numFmtId="0" fontId="0" fillId="3" borderId="12" xfId="0" applyFill="1" applyBorder="1"/>
    <xf numFmtId="0" fontId="0" fillId="0" borderId="0" xfId="0" applyAlignment="1">
      <alignment wrapText="1"/>
    </xf>
    <xf numFmtId="43" fontId="1" fillId="0" borderId="15" xfId="1" applyBorder="1"/>
    <xf numFmtId="0" fontId="10" fillId="5" borderId="0" xfId="0" applyFont="1" applyFill="1" applyAlignment="1">
      <alignment wrapText="1"/>
    </xf>
    <xf numFmtId="0" fontId="10" fillId="6" borderId="0" xfId="0" applyFont="1" applyFill="1" applyAlignment="1">
      <alignment wrapText="1"/>
    </xf>
    <xf numFmtId="0" fontId="10" fillId="8" borderId="12" xfId="0" applyFont="1" applyFill="1" applyBorder="1"/>
    <xf numFmtId="0" fontId="10" fillId="4" borderId="14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43" fontId="1" fillId="0" borderId="0" xfId="1" applyBorder="1"/>
    <xf numFmtId="0" fontId="10" fillId="8" borderId="20" xfId="0" applyFont="1" applyFill="1" applyBorder="1"/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wrapText="1"/>
    </xf>
    <xf numFmtId="43" fontId="1" fillId="0" borderId="15" xfId="1" applyBorder="1" applyAlignment="1">
      <alignment wrapText="1"/>
    </xf>
    <xf numFmtId="43" fontId="1" fillId="0" borderId="16" xfId="1" applyBorder="1" applyAlignment="1">
      <alignment wrapText="1"/>
    </xf>
    <xf numFmtId="0" fontId="10" fillId="8" borderId="17" xfId="0" applyFont="1" applyFill="1" applyBorder="1" applyAlignment="1">
      <alignment wrapText="1"/>
    </xf>
    <xf numFmtId="0" fontId="10" fillId="8" borderId="18" xfId="0" applyFont="1" applyFill="1" applyBorder="1" applyAlignment="1">
      <alignment wrapText="1"/>
    </xf>
    <xf numFmtId="0" fontId="10" fillId="9" borderId="0" xfId="0" applyFont="1" applyFill="1" applyAlignment="1">
      <alignment wrapText="1"/>
    </xf>
    <xf numFmtId="0" fontId="10" fillId="9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44" fontId="11" fillId="0" borderId="0" xfId="2" applyFont="1" applyBorder="1"/>
    <xf numFmtId="169" fontId="1" fillId="0" borderId="0" xfId="2" applyNumberFormat="1"/>
    <xf numFmtId="169" fontId="0" fillId="0" borderId="0" xfId="0" applyNumberFormat="1"/>
    <xf numFmtId="168" fontId="1" fillId="0" borderId="0" xfId="2" applyNumberFormat="1" applyBorder="1"/>
    <xf numFmtId="168" fontId="1" fillId="0" borderId="15" xfId="2" applyNumberFormat="1" applyBorder="1"/>
    <xf numFmtId="168" fontId="1" fillId="0" borderId="16" xfId="2" applyNumberFormat="1" applyBorder="1"/>
    <xf numFmtId="168" fontId="11" fillId="7" borderId="21" xfId="2" applyNumberFormat="1" applyFont="1" applyFill="1" applyBorder="1"/>
    <xf numFmtId="168" fontId="11" fillId="7" borderId="12" xfId="2" applyNumberFormat="1" applyFont="1" applyFill="1" applyBorder="1"/>
    <xf numFmtId="168" fontId="11" fillId="7" borderId="20" xfId="2" applyNumberFormat="1" applyFont="1" applyFill="1" applyBorder="1"/>
    <xf numFmtId="168" fontId="11" fillId="7" borderId="22" xfId="2" applyNumberFormat="1" applyFont="1" applyFill="1" applyBorder="1"/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 vertical="center" wrapText="1"/>
    </xf>
    <xf numFmtId="0" fontId="12" fillId="11" borderId="14" xfId="0" applyFont="1" applyFill="1" applyBorder="1" applyAlignment="1">
      <alignment wrapText="1"/>
    </xf>
    <xf numFmtId="0" fontId="12" fillId="12" borderId="19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wrapText="1"/>
    </xf>
    <xf numFmtId="0" fontId="12" fillId="13" borderId="14" xfId="0" applyFont="1" applyFill="1" applyBorder="1" applyAlignment="1">
      <alignment wrapText="1"/>
    </xf>
    <xf numFmtId="0" fontId="12" fillId="12" borderId="0" xfId="0" applyFont="1" applyFill="1" applyAlignment="1">
      <alignment wrapText="1"/>
    </xf>
    <xf numFmtId="0" fontId="13" fillId="0" borderId="26" xfId="0" applyFont="1" applyBorder="1"/>
    <xf numFmtId="0" fontId="13" fillId="0" borderId="27" xfId="0" applyFont="1" applyBorder="1"/>
    <xf numFmtId="165" fontId="13" fillId="0" borderId="27" xfId="0" applyNumberFormat="1" applyFont="1" applyBorder="1"/>
    <xf numFmtId="10" fontId="1" fillId="0" borderId="0" xfId="0" applyNumberFormat="1" applyFont="1"/>
    <xf numFmtId="0" fontId="13" fillId="0" borderId="28" xfId="0" applyFont="1" applyBorder="1" applyAlignment="1">
      <alignment horizontal="center"/>
    </xf>
    <xf numFmtId="164" fontId="13" fillId="0" borderId="27" xfId="0" applyNumberFormat="1" applyFont="1" applyBorder="1"/>
    <xf numFmtId="164" fontId="13" fillId="0" borderId="29" xfId="0" applyNumberFormat="1" applyFont="1" applyBorder="1"/>
    <xf numFmtId="43" fontId="1" fillId="0" borderId="0" xfId="0" applyNumberFormat="1" applyFont="1"/>
    <xf numFmtId="43" fontId="1" fillId="0" borderId="15" xfId="0" applyNumberFormat="1" applyFont="1" applyBorder="1" applyAlignment="1">
      <alignment wrapText="1"/>
    </xf>
    <xf numFmtId="43" fontId="1" fillId="0" borderId="16" xfId="0" applyNumberFormat="1" applyFont="1" applyBorder="1" applyAlignment="1">
      <alignment wrapText="1"/>
    </xf>
    <xf numFmtId="168" fontId="1" fillId="0" borderId="0" xfId="0" applyNumberFormat="1" applyFont="1"/>
    <xf numFmtId="168" fontId="1" fillId="0" borderId="16" xfId="0" applyNumberFormat="1" applyFont="1" applyBorder="1"/>
    <xf numFmtId="0" fontId="14" fillId="14" borderId="0" xfId="0" applyFont="1" applyFill="1"/>
    <xf numFmtId="0" fontId="14" fillId="5" borderId="0" xfId="0" applyFont="1" applyFill="1" applyAlignment="1">
      <alignment wrapText="1"/>
    </xf>
    <xf numFmtId="0" fontId="15" fillId="12" borderId="19" xfId="0" applyFont="1" applyFill="1" applyBorder="1" applyAlignment="1">
      <alignment horizontal="center" vertical="center" wrapText="1"/>
    </xf>
    <xf numFmtId="169" fontId="1" fillId="0" borderId="0" xfId="0" applyNumberFormat="1" applyFont="1"/>
    <xf numFmtId="169" fontId="1" fillId="0" borderId="15" xfId="0" applyNumberFormat="1" applyFont="1" applyBorder="1"/>
    <xf numFmtId="169" fontId="1" fillId="0" borderId="16" xfId="0" applyNumberFormat="1" applyFont="1" applyBorder="1"/>
    <xf numFmtId="0" fontId="7" fillId="0" borderId="2" xfId="0" applyFont="1" applyBorder="1" applyAlignment="1">
      <alignment vertical="center" wrapText="1"/>
    </xf>
    <xf numFmtId="0" fontId="4" fillId="3" borderId="1" xfId="0" applyFont="1" applyFill="1" applyBorder="1" applyAlignment="1">
      <alignment horizontal="right"/>
    </xf>
    <xf numFmtId="0" fontId="7" fillId="0" borderId="0" xfId="0" applyFont="1" applyAlignment="1">
      <alignment vertical="top" wrapText="1"/>
    </xf>
    <xf numFmtId="0" fontId="4" fillId="3" borderId="9" xfId="0" applyFont="1" applyFill="1" applyBorder="1" applyAlignment="1">
      <alignment horizontal="right"/>
    </xf>
    <xf numFmtId="0" fontId="4" fillId="3" borderId="10" xfId="0" applyFont="1" applyFill="1" applyBorder="1" applyAlignment="1">
      <alignment horizontal="right"/>
    </xf>
    <xf numFmtId="0" fontId="2" fillId="0" borderId="0" xfId="0" applyFont="1" applyAlignment="1"/>
    <xf numFmtId="0" fontId="3" fillId="2" borderId="0" xfId="0" applyFont="1" applyFill="1" applyAlignment="1"/>
    <xf numFmtId="0" fontId="4" fillId="3" borderId="1" xfId="0" applyFont="1" applyFill="1" applyBorder="1" applyAlignment="1"/>
    <xf numFmtId="0" fontId="7" fillId="0" borderId="0" xfId="0" applyFont="1" applyAlignment="1"/>
    <xf numFmtId="0" fontId="4" fillId="0" borderId="2" xfId="0" applyFont="1" applyBorder="1" applyAlignme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3E7"/>
      <rgbColor rgb="FFEAF7EE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EFEAF7"/>
      <rgbColor rgb="FFF7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Energy (kWh), by GFA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Examples'!$J$2:$K$2</c:f>
              <c:strCache>
                <c:ptCount val="2"/>
                <c:pt idx="0">
                  <c:v> Annual  Energy (kWh)</c:v>
                </c:pt>
                <c:pt idx="1">
                  <c:v>Annual Renewable Energy </c:v>
                </c:pt>
              </c:strCache>
            </c:strRef>
          </c:cat>
          <c:val>
            <c:numRef>
              <c:f>'Graph Examples'!$J$3:$K$3</c:f>
              <c:numCache>
                <c:formatCode>_(* #,##0.00_);_(* \(#,##0.00\);_(* "-"??_);_(@_)</c:formatCode>
                <c:ptCount val="2"/>
                <c:pt idx="0">
                  <c:v>20497.87</c:v>
                </c:pt>
                <c:pt idx="1">
                  <c:v>8199.15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0-8449-ADB2-978727B213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0842495"/>
        <c:axId val="770844287"/>
      </c:barChart>
      <c:catAx>
        <c:axId val="77084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44287"/>
        <c:crosses val="autoZero"/>
        <c:auto val="1"/>
        <c:lblAlgn val="ctr"/>
        <c:lblOffset val="100"/>
        <c:noMultiLvlLbl val="0"/>
      </c:catAx>
      <c:valAx>
        <c:axId val="77084428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4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Carbon Emmissions,</a:t>
            </a:r>
            <a:r>
              <a:rPr lang="en-US" baseline="0"/>
              <a:t> by Tonnes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Examples'!$L$2:$M$2</c:f>
              <c:strCache>
                <c:ptCount val="2"/>
                <c:pt idx="0">
                  <c:v>Emmissions with DER</c:v>
                </c:pt>
                <c:pt idx="1">
                  <c:v>Emmissions  without DER</c:v>
                </c:pt>
              </c:strCache>
            </c:strRef>
          </c:cat>
          <c:val>
            <c:numRef>
              <c:f>'Graph Examples'!$L$3:$M$3</c:f>
              <c:numCache>
                <c:formatCode>_(* #,##0.00_);_(* \(#,##0.00\);_(* "-"??_);_(@_)</c:formatCode>
                <c:ptCount val="2"/>
                <c:pt idx="0">
                  <c:v>3.19</c:v>
                </c:pt>
                <c:pt idx="1">
                  <c:v>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E-8345-8268-D5E2DB8E02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8720063"/>
        <c:axId val="838724991"/>
      </c:barChart>
      <c:catAx>
        <c:axId val="83872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24991"/>
        <c:crosses val="autoZero"/>
        <c:auto val="1"/>
        <c:lblAlgn val="ctr"/>
        <c:lblOffset val="100"/>
        <c:noMultiLvlLbl val="0"/>
      </c:catAx>
      <c:valAx>
        <c:axId val="838724991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2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Bill (¥)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Examples'!$O$2:$P$2</c:f>
              <c:strCache>
                <c:ptCount val="2"/>
                <c:pt idx="0">
                  <c:v> Bill with DER</c:v>
                </c:pt>
                <c:pt idx="1">
                  <c:v> Bill without DER</c:v>
                </c:pt>
              </c:strCache>
            </c:strRef>
          </c:cat>
          <c:val>
            <c:numRef>
              <c:f>'Graph Examples'!$O$3:$P$3</c:f>
              <c:numCache>
                <c:formatCode>_-[$¥-411]* #,##0_-;\-[$¥-411]* #,##0_-;_-[$¥-411]* "-"??_-;_-@_-</c:formatCode>
                <c:ptCount val="2"/>
                <c:pt idx="0">
                  <c:v>16658.669999999998</c:v>
                </c:pt>
                <c:pt idx="1">
                  <c:v>29261.86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1-4495-A21E-36AB446773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6104432"/>
        <c:axId val="1696105872"/>
      </c:barChart>
      <c:catAx>
        <c:axId val="16961044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05872"/>
        <c:crosses val="autoZero"/>
        <c:auto val="1"/>
        <c:lblAlgn val="ctr"/>
        <c:lblOffset val="100"/>
        <c:noMultiLvlLbl val="0"/>
      </c:catAx>
      <c:valAx>
        <c:axId val="1696105872"/>
        <c:scaling>
          <c:orientation val="minMax"/>
        </c:scaling>
        <c:delete val="0"/>
        <c:axPos val="r"/>
        <c:numFmt formatCode="_-[$¥-411]* #,##0_-;\-[$¥-411]* #,##0_-;_-[$¥-411]* &quot;-&quot;??_-;_-@_-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0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Energy Lifecycle Cost (¥)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Examples'!$S$2:$T$2</c:f>
              <c:strCache>
                <c:ptCount val="2"/>
                <c:pt idx="0">
                  <c:v>Without DER</c:v>
                </c:pt>
                <c:pt idx="1">
                  <c:v>With DER</c:v>
                </c:pt>
              </c:strCache>
            </c:strRef>
          </c:cat>
          <c:val>
            <c:numRef>
              <c:f>'Graph Examples'!$S$3:$T$3</c:f>
              <c:numCache>
                <c:formatCode>_-[$¥-411]* #,##0_-;\-[$¥-411]* #,##0_-;_-[$¥-411]* "-"??_-;_-@_-</c:formatCode>
                <c:ptCount val="2"/>
                <c:pt idx="0">
                  <c:v>7866535.6600000001</c:v>
                </c:pt>
                <c:pt idx="1">
                  <c:v>5789590.6799999997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8-B34D-97F2-0A87B150D9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1399039"/>
        <c:axId val="971401279"/>
      </c:barChart>
      <c:catAx>
        <c:axId val="9713990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01279"/>
        <c:crosses val="autoZero"/>
        <c:auto val="1"/>
        <c:lblAlgn val="ctr"/>
        <c:lblOffset val="100"/>
        <c:noMultiLvlLbl val="0"/>
      </c:catAx>
      <c:valAx>
        <c:axId val="971401279"/>
        <c:scaling>
          <c:orientation val="minMax"/>
        </c:scaling>
        <c:delete val="0"/>
        <c:axPos val="t"/>
        <c:numFmt formatCode="_-[$¥-411]* #,##0_-;\-[$¥-411]* #,##0_-;_-[$¥-411]* &quot;-&quot;??_-;_-@_-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Sheet1!$A$1:$B$1</c:f>
              <c:strCache>
                <c:ptCount val="2"/>
                <c:pt idx="0">
                  <c:v>Energy Bill W/DER</c:v>
                </c:pt>
                <c:pt idx="1">
                  <c:v>Energy Bill W/O DER</c:v>
                </c:pt>
              </c:strCache>
            </c:strRef>
          </c:cat>
          <c:val>
            <c:numRef>
              <c:f>Sheet1!$A$2:$B$2</c:f>
              <c:numCache>
                <c:formatCode>_-[$¥-411]* #,##0.00_-;\-[$¥-411]* #,##0.00_-;_-[$¥-411]* "-"??_-;_-@_-</c:formatCode>
                <c:ptCount val="2"/>
                <c:pt idx="0">
                  <c:v>16658.669999999998</c:v>
                </c:pt>
                <c:pt idx="1">
                  <c:v>29261.86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B-4D74-97C2-12B54E4D2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289952"/>
        <c:axId val="1626288992"/>
      </c:barChart>
      <c:catAx>
        <c:axId val="16262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88992"/>
        <c:crosses val="autoZero"/>
        <c:auto val="1"/>
        <c:lblAlgn val="ctr"/>
        <c:lblOffset val="100"/>
        <c:noMultiLvlLbl val="0"/>
      </c:catAx>
      <c:valAx>
        <c:axId val="162628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¥-411]* #,##0.00_-;\-[$¥-411]* #,##0.00_-;_-[$¥-411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4</xdr:row>
      <xdr:rowOff>114300</xdr:rowOff>
    </xdr:from>
    <xdr:to>
      <xdr:col>9</xdr:col>
      <xdr:colOff>755650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825AC-482B-7C19-1F48-29CBCFC30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819150</xdr:colOff>
      <xdr:row>4</xdr:row>
      <xdr:rowOff>165100</xdr:rowOff>
    </xdr:from>
    <xdr:to>
      <xdr:col>15</xdr:col>
      <xdr:colOff>209550</xdr:colOff>
      <xdr:row>19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903D74-5F4B-DC37-2957-8B7940E9A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644525</xdr:colOff>
      <xdr:row>8</xdr:row>
      <xdr:rowOff>158750</xdr:rowOff>
    </xdr:from>
    <xdr:to>
      <xdr:col>21</xdr:col>
      <xdr:colOff>536575</xdr:colOff>
      <xdr:row>23</xdr:row>
      <xdr:rowOff>139700</xdr:rowOff>
    </xdr:to>
    <xdr:graphicFrame macro="">
      <xdr:nvGraphicFramePr>
        <xdr:cNvPr id="12" name="Chart 13">
          <a:extLst>
            <a:ext uri="{FF2B5EF4-FFF2-40B4-BE49-F238E27FC236}">
              <a16:creationId xmlns:a16="http://schemas.microsoft.com/office/drawing/2014/main" id="{A49800A0-833C-3211-3004-8A8F1A219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412750</xdr:colOff>
      <xdr:row>4</xdr:row>
      <xdr:rowOff>120650</xdr:rowOff>
    </xdr:from>
    <xdr:to>
      <xdr:col>28</xdr:col>
      <xdr:colOff>31750</xdr:colOff>
      <xdr:row>19</xdr:row>
      <xdr:rowOff>6350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A8C1A2-65B1-762A-B839-00D1026F6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76200</xdr:rowOff>
    </xdr:from>
    <xdr:to>
      <xdr:col>14</xdr:col>
      <xdr:colOff>415925</xdr:colOff>
      <xdr:row>22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33C052-7691-B57E-663B-4B43A1833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zoomScaleNormal="100" workbookViewId="0">
      <selection sqref="A1:N1"/>
    </sheetView>
  </sheetViews>
  <sheetFormatPr defaultColWidth="8.7109375" defaultRowHeight="15"/>
  <cols>
    <col min="1" max="1" width="8" customWidth="1"/>
    <col min="2" max="2" width="30" customWidth="1"/>
    <col min="3" max="3" width="9" customWidth="1"/>
    <col min="4" max="4" width="8" customWidth="1"/>
    <col min="5" max="5" width="10" customWidth="1"/>
    <col min="6" max="6" width="18" customWidth="1"/>
    <col min="7" max="7" width="12" customWidth="1"/>
    <col min="8" max="8" width="15" customWidth="1"/>
    <col min="9" max="9" width="22" customWidth="1"/>
    <col min="10" max="10" width="20" customWidth="1"/>
    <col min="11" max="11" width="16" customWidth="1"/>
    <col min="12" max="12" width="13" customWidth="1"/>
    <col min="13" max="13" width="11" customWidth="1"/>
    <col min="14" max="14" width="16" customWidth="1"/>
  </cols>
  <sheetData>
    <row r="1" spans="1:14" ht="15.75" customHeight="1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3" spans="1:14" ht="15" customHeight="1">
      <c r="A3" s="106" t="s">
        <v>1</v>
      </c>
      <c r="B3" s="106"/>
      <c r="C3" s="106"/>
      <c r="D3" s="106"/>
    </row>
    <row r="4" spans="1:14" ht="15" customHeight="1">
      <c r="A4" s="1" t="s">
        <v>2</v>
      </c>
      <c r="B4" s="1" t="s">
        <v>3</v>
      </c>
      <c r="C4" s="107" t="s">
        <v>4</v>
      </c>
      <c r="D4" s="107"/>
    </row>
    <row r="5" spans="1:14" ht="45" customHeight="1">
      <c r="A5" s="2" t="s">
        <v>5</v>
      </c>
      <c r="B5" s="3">
        <v>2795000</v>
      </c>
      <c r="C5" s="100" t="s">
        <v>6</v>
      </c>
      <c r="D5" s="100"/>
    </row>
    <row r="6" spans="1:14" ht="45" customHeight="1">
      <c r="A6" s="2" t="s">
        <v>7</v>
      </c>
      <c r="B6" s="4">
        <f>AVERAGE(B5,B7)</f>
        <v>2309000</v>
      </c>
      <c r="C6" s="100" t="s">
        <v>8</v>
      </c>
      <c r="D6" s="100"/>
    </row>
    <row r="7" spans="1:14" ht="45" customHeight="1">
      <c r="A7" s="2" t="s">
        <v>9</v>
      </c>
      <c r="B7" s="3">
        <v>1823000</v>
      </c>
      <c r="C7" s="100" t="s">
        <v>10</v>
      </c>
      <c r="D7" s="100"/>
    </row>
    <row r="8" spans="1:14" ht="45" customHeight="1">
      <c r="A8" s="2" t="s">
        <v>11</v>
      </c>
      <c r="B8" s="4">
        <f>B5</f>
        <v>2795000</v>
      </c>
      <c r="C8" s="100" t="s">
        <v>12</v>
      </c>
      <c r="D8" s="100"/>
    </row>
    <row r="10" spans="1:14" ht="15" customHeight="1">
      <c r="A10" s="106" t="s">
        <v>13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</row>
    <row r="11" spans="1:14" ht="26.25" customHeight="1">
      <c r="A11" s="5" t="s">
        <v>14</v>
      </c>
      <c r="B11" s="5" t="s">
        <v>2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5" t="s">
        <v>23</v>
      </c>
      <c r="L11" s="5" t="s">
        <v>24</v>
      </c>
      <c r="M11" s="5" t="s">
        <v>25</v>
      </c>
      <c r="N11" s="5" t="s">
        <v>26</v>
      </c>
    </row>
    <row r="12" spans="1:14" ht="15" customHeight="1">
      <c r="A12" s="6">
        <v>2070</v>
      </c>
      <c r="B12" s="6" t="s">
        <v>5</v>
      </c>
      <c r="C12" s="7">
        <v>121</v>
      </c>
      <c r="D12" s="7">
        <v>5</v>
      </c>
      <c r="E12" s="8">
        <v>29.7</v>
      </c>
      <c r="F12" s="8">
        <v>82.107199992299996</v>
      </c>
      <c r="G12" s="9">
        <f t="shared" ref="G12:G33" si="0">F12*D12</f>
        <v>410.53599996150001</v>
      </c>
      <c r="H12" s="4">
        <f t="shared" ref="H12:H33" si="1">VLOOKUP(B12,$A$5:$B$8,2,FALSE())</f>
        <v>2795000</v>
      </c>
      <c r="I12" s="4">
        <f t="shared" ref="I12:I33" si="2">G12*H12</f>
        <v>1147448119.8923926</v>
      </c>
      <c r="J12" s="9">
        <f t="shared" ref="J12:J33" si="3">I12/1000000</f>
        <v>1147.4481198923927</v>
      </c>
      <c r="K12" s="8">
        <v>82.107199992299996</v>
      </c>
      <c r="L12" s="10">
        <f t="shared" ref="L12:L33" si="4">G12/K12</f>
        <v>5</v>
      </c>
      <c r="M12" s="11">
        <f>VLOOKUP(A12,'Building Age &amp; Tier'!$A$12:$I$33,7,FALSE())</f>
        <v>2019</v>
      </c>
      <c r="N12" s="12" t="str">
        <f>VLOOKUP(A12,'Building Age &amp; Tier'!$A$12:$I$33,9,FALSE())</f>
        <v>Maintenance</v>
      </c>
    </row>
    <row r="13" spans="1:14" ht="15" customHeight="1">
      <c r="A13" s="6">
        <v>2563</v>
      </c>
      <c r="B13" s="6" t="s">
        <v>7</v>
      </c>
      <c r="C13" s="7">
        <v>123</v>
      </c>
      <c r="D13" s="7">
        <v>2</v>
      </c>
      <c r="E13" s="8">
        <v>30</v>
      </c>
      <c r="F13" s="8">
        <v>41.050499996100001</v>
      </c>
      <c r="G13" s="9">
        <f t="shared" si="0"/>
        <v>82.100999992200002</v>
      </c>
      <c r="H13" s="4">
        <f t="shared" si="1"/>
        <v>2309000</v>
      </c>
      <c r="I13" s="4">
        <f t="shared" si="2"/>
        <v>189571208.9819898</v>
      </c>
      <c r="J13" s="9">
        <f t="shared" si="3"/>
        <v>189.5712089819898</v>
      </c>
      <c r="K13" s="8">
        <v>41.050499996100001</v>
      </c>
      <c r="L13" s="10">
        <f t="shared" si="4"/>
        <v>2</v>
      </c>
      <c r="M13" s="11">
        <f>VLOOKUP(A13,'Building Age &amp; Tier'!$A$12:$I$33,7,FALSE())</f>
        <v>0</v>
      </c>
      <c r="N13" s="12" t="str">
        <f>VLOOKUP(A13,'Building Age &amp; Tier'!$A$12:$I$33,9,FALSE())</f>
        <v>TBD</v>
      </c>
    </row>
    <row r="14" spans="1:14" ht="15" customHeight="1">
      <c r="A14" s="6">
        <v>3037</v>
      </c>
      <c r="B14" s="6" t="s">
        <v>5</v>
      </c>
      <c r="C14" s="7">
        <v>121</v>
      </c>
      <c r="D14" s="7">
        <v>4</v>
      </c>
      <c r="E14" s="8">
        <v>18.3</v>
      </c>
      <c r="F14" s="8">
        <v>888.05704999700004</v>
      </c>
      <c r="G14" s="9">
        <f t="shared" si="0"/>
        <v>3552.2281999880001</v>
      </c>
      <c r="H14" s="4">
        <f t="shared" si="1"/>
        <v>2795000</v>
      </c>
      <c r="I14" s="4">
        <f t="shared" si="2"/>
        <v>9928477818.9664612</v>
      </c>
      <c r="J14" s="9">
        <f t="shared" si="3"/>
        <v>9928.4778189664612</v>
      </c>
      <c r="K14" s="8">
        <v>888.05704999700004</v>
      </c>
      <c r="L14" s="10">
        <f t="shared" si="4"/>
        <v>4</v>
      </c>
      <c r="M14" s="11">
        <f>VLOOKUP(A14,'Building Age &amp; Tier'!$A$12:$I$33,7,FALSE())</f>
        <v>1967</v>
      </c>
      <c r="N14" s="12" t="str">
        <f>VLOOKUP(A14,'Building Age &amp; Tier'!$A$12:$I$33,9,FALSE())</f>
        <v>Reconstruct</v>
      </c>
    </row>
    <row r="15" spans="1:14" ht="15" customHeight="1">
      <c r="A15" s="6">
        <v>3042</v>
      </c>
      <c r="B15" s="6" t="s">
        <v>5</v>
      </c>
      <c r="C15" s="7">
        <v>121</v>
      </c>
      <c r="D15" s="7">
        <v>6</v>
      </c>
      <c r="E15" s="8">
        <v>26.8</v>
      </c>
      <c r="F15" s="8">
        <v>555.54198100400004</v>
      </c>
      <c r="G15" s="9">
        <f t="shared" si="0"/>
        <v>3333.2518860240002</v>
      </c>
      <c r="H15" s="4">
        <f t="shared" si="1"/>
        <v>2795000</v>
      </c>
      <c r="I15" s="4">
        <f t="shared" si="2"/>
        <v>9316439021.4370804</v>
      </c>
      <c r="J15" s="9">
        <f t="shared" si="3"/>
        <v>9316.4390214370796</v>
      </c>
      <c r="K15" s="8">
        <v>555.54198100400004</v>
      </c>
      <c r="L15" s="10">
        <f t="shared" si="4"/>
        <v>6</v>
      </c>
      <c r="M15" s="11">
        <f>VLOOKUP(A15,'Building Age &amp; Tier'!$A$12:$I$33,7,FALSE())</f>
        <v>0</v>
      </c>
      <c r="N15" s="12" t="str">
        <f>VLOOKUP(A15,'Building Age &amp; Tier'!$A$12:$I$33,9,FALSE())</f>
        <v>TBD</v>
      </c>
    </row>
    <row r="16" spans="1:14" ht="15" customHeight="1">
      <c r="A16" s="6">
        <v>3044</v>
      </c>
      <c r="B16" s="6" t="s">
        <v>5</v>
      </c>
      <c r="C16" s="7">
        <v>121</v>
      </c>
      <c r="D16" s="7">
        <v>6</v>
      </c>
      <c r="E16" s="8">
        <v>19.899999999999999</v>
      </c>
      <c r="F16" s="8">
        <v>88.135499998699999</v>
      </c>
      <c r="G16" s="9">
        <f t="shared" si="0"/>
        <v>528.81299999220005</v>
      </c>
      <c r="H16" s="4">
        <f t="shared" si="1"/>
        <v>2795000</v>
      </c>
      <c r="I16" s="4">
        <f t="shared" si="2"/>
        <v>1478032334.9781992</v>
      </c>
      <c r="J16" s="9">
        <f t="shared" si="3"/>
        <v>1478.0323349781993</v>
      </c>
      <c r="K16" s="8">
        <v>88.135499998699999</v>
      </c>
      <c r="L16" s="10">
        <f t="shared" si="4"/>
        <v>6.0000000000000009</v>
      </c>
      <c r="M16" s="11">
        <f>VLOOKUP(A16,'Building Age &amp; Tier'!$A$12:$I$33,7,FALSE())</f>
        <v>2010</v>
      </c>
      <c r="N16" s="12" t="str">
        <f>VLOOKUP(A16,'Building Age &amp; Tier'!$A$12:$I$33,9,FALSE())</f>
        <v>Maintenance</v>
      </c>
    </row>
    <row r="17" spans="1:14" ht="15" customHeight="1">
      <c r="A17" s="6">
        <v>3065</v>
      </c>
      <c r="B17" s="6" t="s">
        <v>7</v>
      </c>
      <c r="C17" s="7">
        <v>123</v>
      </c>
      <c r="D17" s="7">
        <v>3</v>
      </c>
      <c r="E17" s="8">
        <v>9.1999999999999993</v>
      </c>
      <c r="F17" s="8">
        <v>59.175899999199999</v>
      </c>
      <c r="G17" s="9">
        <f t="shared" si="0"/>
        <v>177.5276999976</v>
      </c>
      <c r="H17" s="4">
        <f t="shared" si="1"/>
        <v>2309000</v>
      </c>
      <c r="I17" s="4">
        <f t="shared" si="2"/>
        <v>409911459.29445839</v>
      </c>
      <c r="J17" s="9">
        <f t="shared" si="3"/>
        <v>409.91145929445838</v>
      </c>
      <c r="K17" s="8">
        <v>59.175899999199999</v>
      </c>
      <c r="L17" s="10">
        <f t="shared" si="4"/>
        <v>3</v>
      </c>
      <c r="M17" s="11">
        <f>VLOOKUP(A17,'Building Age &amp; Tier'!$A$12:$I$33,7,FALSE())</f>
        <v>0</v>
      </c>
      <c r="N17" s="12" t="str">
        <f>VLOOKUP(A17,'Building Age &amp; Tier'!$A$12:$I$33,9,FALSE())</f>
        <v>TBD</v>
      </c>
    </row>
    <row r="18" spans="1:14" ht="15" customHeight="1">
      <c r="A18" s="6">
        <v>3067</v>
      </c>
      <c r="B18" s="6" t="s">
        <v>5</v>
      </c>
      <c r="C18" s="7">
        <v>121</v>
      </c>
      <c r="D18" s="7">
        <v>2</v>
      </c>
      <c r="E18" s="8">
        <v>24.6</v>
      </c>
      <c r="F18" s="8">
        <v>25.498839242500001</v>
      </c>
      <c r="G18" s="9">
        <f t="shared" si="0"/>
        <v>50.997678485000002</v>
      </c>
      <c r="H18" s="4">
        <f t="shared" si="1"/>
        <v>2795000</v>
      </c>
      <c r="I18" s="4">
        <f t="shared" si="2"/>
        <v>142538511.36557502</v>
      </c>
      <c r="J18" s="9">
        <f t="shared" si="3"/>
        <v>142.538511365575</v>
      </c>
      <c r="K18" s="8">
        <v>25.498839242500001</v>
      </c>
      <c r="L18" s="10">
        <f t="shared" si="4"/>
        <v>2</v>
      </c>
      <c r="M18" s="11">
        <f>VLOOKUP(A18,'Building Age &amp; Tier'!$A$12:$I$33,7,FALSE())</f>
        <v>1995</v>
      </c>
      <c r="N18" s="12" t="str">
        <f>VLOOKUP(A18,'Building Age &amp; Tier'!$A$12:$I$33,9,FALSE())</f>
        <v>Renovate</v>
      </c>
    </row>
    <row r="19" spans="1:14" ht="15" customHeight="1">
      <c r="A19" s="6">
        <v>3074</v>
      </c>
      <c r="B19" s="6" t="s">
        <v>7</v>
      </c>
      <c r="C19" s="7">
        <v>123</v>
      </c>
      <c r="D19" s="7">
        <v>8</v>
      </c>
      <c r="E19" s="8">
        <v>30.2</v>
      </c>
      <c r="F19" s="8">
        <v>72.960299993700005</v>
      </c>
      <c r="G19" s="9">
        <f t="shared" si="0"/>
        <v>583.68239994960004</v>
      </c>
      <c r="H19" s="4">
        <f t="shared" si="1"/>
        <v>2309000</v>
      </c>
      <c r="I19" s="4">
        <f t="shared" si="2"/>
        <v>1347722661.4836266</v>
      </c>
      <c r="J19" s="9">
        <f t="shared" si="3"/>
        <v>1347.7226614836266</v>
      </c>
      <c r="K19" s="8">
        <v>72.960299993700005</v>
      </c>
      <c r="L19" s="10">
        <f t="shared" si="4"/>
        <v>8</v>
      </c>
      <c r="M19" s="11">
        <f>VLOOKUP(A19,'Building Age &amp; Tier'!$A$12:$I$33,7,FALSE())</f>
        <v>1998</v>
      </c>
      <c r="N19" s="12" t="str">
        <f>VLOOKUP(A19,'Building Age &amp; Tier'!$A$12:$I$33,9,FALSE())</f>
        <v>Renovate</v>
      </c>
    </row>
    <row r="20" spans="1:14" ht="15" customHeight="1">
      <c r="A20" s="6">
        <v>3078</v>
      </c>
      <c r="B20" s="6" t="s">
        <v>5</v>
      </c>
      <c r="C20" s="7">
        <v>121</v>
      </c>
      <c r="D20" s="7">
        <v>5</v>
      </c>
      <c r="E20" s="8">
        <v>22.5</v>
      </c>
      <c r="F20" s="8">
        <v>127.20825049299999</v>
      </c>
      <c r="G20" s="9">
        <f t="shared" si="0"/>
        <v>636.04125246499996</v>
      </c>
      <c r="H20" s="4">
        <f t="shared" si="1"/>
        <v>2795000</v>
      </c>
      <c r="I20" s="4">
        <f t="shared" si="2"/>
        <v>1777735300.6396749</v>
      </c>
      <c r="J20" s="9">
        <f t="shared" si="3"/>
        <v>1777.735300639675</v>
      </c>
      <c r="K20" s="8">
        <v>127.20825049299999</v>
      </c>
      <c r="L20" s="10">
        <f t="shared" si="4"/>
        <v>5</v>
      </c>
      <c r="M20" s="11">
        <f>VLOOKUP(A20,'Building Age &amp; Tier'!$A$12:$I$33,7,FALSE())</f>
        <v>1962</v>
      </c>
      <c r="N20" s="12" t="str">
        <f>VLOOKUP(A20,'Building Age &amp; Tier'!$A$12:$I$33,9,FALSE())</f>
        <v>Reconstruct</v>
      </c>
    </row>
    <row r="21" spans="1:14" ht="15" customHeight="1">
      <c r="A21" s="6">
        <v>3486</v>
      </c>
      <c r="B21" s="6" t="s">
        <v>9</v>
      </c>
      <c r="C21" s="7">
        <v>132</v>
      </c>
      <c r="D21" s="7">
        <v>9</v>
      </c>
      <c r="E21" s="8">
        <v>27.4</v>
      </c>
      <c r="F21" s="8">
        <v>52.139568135099999</v>
      </c>
      <c r="G21" s="9">
        <f t="shared" si="0"/>
        <v>469.25611321589997</v>
      </c>
      <c r="H21" s="4">
        <f t="shared" si="1"/>
        <v>1823000</v>
      </c>
      <c r="I21" s="4">
        <f t="shared" si="2"/>
        <v>855453894.39258564</v>
      </c>
      <c r="J21" s="9">
        <f t="shared" si="3"/>
        <v>855.45389439258565</v>
      </c>
      <c r="K21" s="8">
        <v>52.139568135099999</v>
      </c>
      <c r="L21" s="10">
        <f t="shared" si="4"/>
        <v>9</v>
      </c>
      <c r="M21" s="11">
        <f>VLOOKUP(A21,'Building Age &amp; Tier'!$A$12:$I$33,7,FALSE())</f>
        <v>2009</v>
      </c>
      <c r="N21" s="12" t="str">
        <f>VLOOKUP(A21,'Building Age &amp; Tier'!$A$12:$I$33,9,FALSE())</f>
        <v>Maintenance</v>
      </c>
    </row>
    <row r="22" spans="1:14" ht="15" customHeight="1">
      <c r="A22" s="6">
        <v>3550</v>
      </c>
      <c r="B22" s="6" t="s">
        <v>5</v>
      </c>
      <c r="C22" s="7">
        <v>121</v>
      </c>
      <c r="D22" s="7">
        <v>6</v>
      </c>
      <c r="E22" s="8">
        <v>24.1</v>
      </c>
      <c r="F22" s="8">
        <v>145.89839999700001</v>
      </c>
      <c r="G22" s="9">
        <f t="shared" si="0"/>
        <v>875.39039998200008</v>
      </c>
      <c r="H22" s="4">
        <f t="shared" si="1"/>
        <v>2795000</v>
      </c>
      <c r="I22" s="4">
        <f t="shared" si="2"/>
        <v>2446716167.9496903</v>
      </c>
      <c r="J22" s="9">
        <f t="shared" si="3"/>
        <v>2446.7161679496903</v>
      </c>
      <c r="K22" s="8">
        <v>145.89839999700001</v>
      </c>
      <c r="L22" s="10">
        <f t="shared" si="4"/>
        <v>6</v>
      </c>
      <c r="M22" s="11">
        <f>VLOOKUP(A22,'Building Age &amp; Tier'!$A$12:$I$33,7,FALSE())</f>
        <v>1968</v>
      </c>
      <c r="N22" s="12" t="str">
        <f>VLOOKUP(A22,'Building Age &amp; Tier'!$A$12:$I$33,9,FALSE())</f>
        <v>Reconstruct</v>
      </c>
    </row>
    <row r="23" spans="1:14" ht="15" customHeight="1">
      <c r="A23" s="6">
        <v>3552</v>
      </c>
      <c r="B23" s="6" t="s">
        <v>7</v>
      </c>
      <c r="C23" s="7">
        <v>123</v>
      </c>
      <c r="D23" s="7">
        <v>2</v>
      </c>
      <c r="E23" s="8">
        <v>8.9</v>
      </c>
      <c r="F23" s="8">
        <v>54.658199993700002</v>
      </c>
      <c r="G23" s="9">
        <f t="shared" si="0"/>
        <v>109.3163999874</v>
      </c>
      <c r="H23" s="4">
        <f t="shared" si="1"/>
        <v>2309000</v>
      </c>
      <c r="I23" s="4">
        <f t="shared" si="2"/>
        <v>252411567.57090661</v>
      </c>
      <c r="J23" s="9">
        <f t="shared" si="3"/>
        <v>252.41156757090661</v>
      </c>
      <c r="K23" s="8">
        <v>54.658199993700002</v>
      </c>
      <c r="L23" s="10">
        <f t="shared" si="4"/>
        <v>2</v>
      </c>
      <c r="M23" s="11">
        <f>VLOOKUP(A23,'Building Age &amp; Tier'!$A$12:$I$33,7,FALSE())</f>
        <v>2020</v>
      </c>
      <c r="N23" s="12" t="str">
        <f>VLOOKUP(A23,'Building Age &amp; Tier'!$A$12:$I$33,9,FALSE())</f>
        <v>Maintenance</v>
      </c>
    </row>
    <row r="24" spans="1:14" ht="15" customHeight="1">
      <c r="A24" s="6">
        <v>3554</v>
      </c>
      <c r="B24" s="6" t="s">
        <v>5</v>
      </c>
      <c r="C24" s="7">
        <v>121</v>
      </c>
      <c r="D24" s="7">
        <v>9</v>
      </c>
      <c r="E24" s="8">
        <v>38.299999999999997</v>
      </c>
      <c r="F24" s="8">
        <v>238.73889349699999</v>
      </c>
      <c r="G24" s="9">
        <f t="shared" si="0"/>
        <v>2148.6500414729999</v>
      </c>
      <c r="H24" s="4">
        <f t="shared" si="1"/>
        <v>2795000</v>
      </c>
      <c r="I24" s="4">
        <f t="shared" si="2"/>
        <v>6005476865.9170351</v>
      </c>
      <c r="J24" s="9">
        <f t="shared" si="3"/>
        <v>6005.476865917035</v>
      </c>
      <c r="K24" s="8">
        <v>238.73889349699999</v>
      </c>
      <c r="L24" s="10">
        <f t="shared" si="4"/>
        <v>9</v>
      </c>
      <c r="M24" s="11">
        <f>VLOOKUP(A24,'Building Age &amp; Tier'!$A$12:$I$33,7,FALSE())</f>
        <v>1993</v>
      </c>
      <c r="N24" s="12" t="str">
        <f>VLOOKUP(A24,'Building Age &amp; Tier'!$A$12:$I$33,9,FALSE())</f>
        <v>Renovate</v>
      </c>
    </row>
    <row r="25" spans="1:14" ht="15" customHeight="1">
      <c r="A25" s="6">
        <v>3562</v>
      </c>
      <c r="B25" s="6" t="s">
        <v>5</v>
      </c>
      <c r="C25" s="7">
        <v>121</v>
      </c>
      <c r="D25" s="7">
        <v>8</v>
      </c>
      <c r="E25" s="8">
        <v>35.6</v>
      </c>
      <c r="F25" s="8">
        <v>222.26719250599999</v>
      </c>
      <c r="G25" s="9">
        <f t="shared" si="0"/>
        <v>1778.1375400479999</v>
      </c>
      <c r="H25" s="4">
        <f t="shared" si="1"/>
        <v>2795000</v>
      </c>
      <c r="I25" s="4">
        <f t="shared" si="2"/>
        <v>4969894424.4341593</v>
      </c>
      <c r="J25" s="9">
        <f t="shared" si="3"/>
        <v>4969.8944244341592</v>
      </c>
      <c r="K25" s="8">
        <v>222.26719250599999</v>
      </c>
      <c r="L25" s="10">
        <f t="shared" si="4"/>
        <v>8</v>
      </c>
      <c r="M25" s="11">
        <f>VLOOKUP(A25,'Building Age &amp; Tier'!$A$12:$I$33,7,FALSE())</f>
        <v>1983</v>
      </c>
      <c r="N25" s="12" t="str">
        <f>VLOOKUP(A25,'Building Age &amp; Tier'!$A$12:$I$33,9,FALSE())</f>
        <v>Renovate</v>
      </c>
    </row>
    <row r="26" spans="1:14" ht="15" customHeight="1">
      <c r="A26" s="6">
        <v>4050</v>
      </c>
      <c r="B26" s="6" t="s">
        <v>5</v>
      </c>
      <c r="C26" s="7">
        <v>121</v>
      </c>
      <c r="D26" s="7">
        <v>9</v>
      </c>
      <c r="E26" s="8">
        <v>42.8</v>
      </c>
      <c r="F26" s="8">
        <v>692.33592700500003</v>
      </c>
      <c r="G26" s="9">
        <f t="shared" si="0"/>
        <v>6231.0233430450007</v>
      </c>
      <c r="H26" s="4">
        <f t="shared" si="1"/>
        <v>2795000</v>
      </c>
      <c r="I26" s="4">
        <f t="shared" si="2"/>
        <v>17415710243.810776</v>
      </c>
      <c r="J26" s="9">
        <f t="shared" si="3"/>
        <v>17415.710243810776</v>
      </c>
      <c r="K26" s="8">
        <v>692.33592700500003</v>
      </c>
      <c r="L26" s="10">
        <f t="shared" si="4"/>
        <v>9</v>
      </c>
      <c r="M26" s="11">
        <f>VLOOKUP(A26,'Building Age &amp; Tier'!$A$12:$I$33,7,FALSE())</f>
        <v>1995</v>
      </c>
      <c r="N26" s="12" t="str">
        <f>VLOOKUP(A26,'Building Age &amp; Tier'!$A$12:$I$33,9,FALSE())</f>
        <v>Renovate</v>
      </c>
    </row>
    <row r="27" spans="1:14" ht="15" customHeight="1">
      <c r="A27" s="6">
        <v>4062</v>
      </c>
      <c r="B27" s="6" t="s">
        <v>5</v>
      </c>
      <c r="C27" s="7">
        <v>121</v>
      </c>
      <c r="D27" s="7">
        <v>9</v>
      </c>
      <c r="E27" s="8">
        <v>36.799999999999997</v>
      </c>
      <c r="F27" s="8">
        <v>118.105900002</v>
      </c>
      <c r="G27" s="9">
        <f t="shared" si="0"/>
        <v>1062.953100018</v>
      </c>
      <c r="H27" s="4">
        <f t="shared" si="1"/>
        <v>2795000</v>
      </c>
      <c r="I27" s="4">
        <f t="shared" si="2"/>
        <v>2970953914.5503101</v>
      </c>
      <c r="J27" s="9">
        <f t="shared" si="3"/>
        <v>2970.9539145503099</v>
      </c>
      <c r="K27" s="8">
        <v>118.105900002</v>
      </c>
      <c r="L27" s="10">
        <f t="shared" si="4"/>
        <v>9</v>
      </c>
      <c r="M27" s="11">
        <f>VLOOKUP(A27,'Building Age &amp; Tier'!$A$12:$I$33,7,FALSE())</f>
        <v>1988</v>
      </c>
      <c r="N27" s="12" t="str">
        <f>VLOOKUP(A27,'Building Age &amp; Tier'!$A$12:$I$33,9,FALSE())</f>
        <v>Renovate</v>
      </c>
    </row>
    <row r="28" spans="1:14" ht="15" customHeight="1">
      <c r="A28" s="6">
        <v>4560</v>
      </c>
      <c r="B28" s="6" t="s">
        <v>7</v>
      </c>
      <c r="C28" s="7">
        <v>123</v>
      </c>
      <c r="D28" s="7">
        <v>3</v>
      </c>
      <c r="E28" s="8">
        <v>11.8</v>
      </c>
      <c r="F28" s="8">
        <v>64.761999995400004</v>
      </c>
      <c r="G28" s="9">
        <f t="shared" si="0"/>
        <v>194.28599998620001</v>
      </c>
      <c r="H28" s="4">
        <f t="shared" si="1"/>
        <v>2309000</v>
      </c>
      <c r="I28" s="4">
        <f t="shared" si="2"/>
        <v>448606373.96813583</v>
      </c>
      <c r="J28" s="9">
        <f t="shared" si="3"/>
        <v>448.60637396813581</v>
      </c>
      <c r="K28" s="8">
        <v>64.761999995400004</v>
      </c>
      <c r="L28" s="10">
        <f t="shared" si="4"/>
        <v>3</v>
      </c>
      <c r="M28" s="11">
        <f>VLOOKUP(A28,'Building Age &amp; Tier'!$A$12:$I$33,7,FALSE())</f>
        <v>2004</v>
      </c>
      <c r="N28" s="12" t="str">
        <f>VLOOKUP(A28,'Building Age &amp; Tier'!$A$12:$I$33,9,FALSE())</f>
        <v>Maintenance</v>
      </c>
    </row>
    <row r="29" spans="1:14" ht="15" customHeight="1">
      <c r="A29" s="6">
        <v>4562</v>
      </c>
      <c r="B29" s="6" t="s">
        <v>5</v>
      </c>
      <c r="C29" s="7">
        <v>121</v>
      </c>
      <c r="D29" s="7">
        <v>5</v>
      </c>
      <c r="E29" s="8">
        <v>16.7</v>
      </c>
      <c r="F29" s="8">
        <v>66.6876450006</v>
      </c>
      <c r="G29" s="9">
        <f t="shared" si="0"/>
        <v>333.43822500300001</v>
      </c>
      <c r="H29" s="4">
        <f t="shared" si="1"/>
        <v>2795000</v>
      </c>
      <c r="I29" s="4">
        <f t="shared" si="2"/>
        <v>931959838.88338506</v>
      </c>
      <c r="J29" s="9">
        <f t="shared" si="3"/>
        <v>931.95983888338503</v>
      </c>
      <c r="K29" s="8">
        <v>66.6876450006</v>
      </c>
      <c r="L29" s="10">
        <f t="shared" si="4"/>
        <v>5</v>
      </c>
      <c r="M29" s="11">
        <f>VLOOKUP(A29,'Building Age &amp; Tier'!$A$12:$I$33,7,FALSE())</f>
        <v>1998</v>
      </c>
      <c r="N29" s="12" t="str">
        <f>VLOOKUP(A29,'Building Age &amp; Tier'!$A$12:$I$33,9,FALSE())</f>
        <v>Renovate</v>
      </c>
    </row>
    <row r="30" spans="1:14" ht="15" customHeight="1">
      <c r="A30" s="6">
        <v>4569</v>
      </c>
      <c r="B30" s="6" t="s">
        <v>5</v>
      </c>
      <c r="C30" s="7">
        <v>121</v>
      </c>
      <c r="D30" s="7">
        <v>5</v>
      </c>
      <c r="E30" s="8">
        <v>22.5</v>
      </c>
      <c r="F30" s="8">
        <v>170.05370650099999</v>
      </c>
      <c r="G30" s="9">
        <f t="shared" si="0"/>
        <v>850.26853250499994</v>
      </c>
      <c r="H30" s="4">
        <f t="shared" si="1"/>
        <v>2795000</v>
      </c>
      <c r="I30" s="4">
        <f t="shared" si="2"/>
        <v>2376500548.3514748</v>
      </c>
      <c r="J30" s="9">
        <f t="shared" si="3"/>
        <v>2376.5005483514747</v>
      </c>
      <c r="K30" s="8">
        <v>170.05370650099999</v>
      </c>
      <c r="L30" s="10">
        <f t="shared" si="4"/>
        <v>5</v>
      </c>
      <c r="M30" s="11">
        <f>VLOOKUP(A30,'Building Age &amp; Tier'!$A$12:$I$33,7,FALSE())</f>
        <v>1984</v>
      </c>
      <c r="N30" s="12" t="str">
        <f>VLOOKUP(A30,'Building Age &amp; Tier'!$A$12:$I$33,9,FALSE())</f>
        <v>Renovate</v>
      </c>
    </row>
    <row r="31" spans="1:14" ht="15" customHeight="1">
      <c r="A31" s="6">
        <v>4571</v>
      </c>
      <c r="B31" s="6" t="s">
        <v>5</v>
      </c>
      <c r="C31" s="7">
        <v>121</v>
      </c>
      <c r="D31" s="7">
        <v>8</v>
      </c>
      <c r="E31" s="8">
        <v>33.4</v>
      </c>
      <c r="F31" s="8">
        <v>135.16456898300001</v>
      </c>
      <c r="G31" s="9">
        <f t="shared" si="0"/>
        <v>1081.3165518640001</v>
      </c>
      <c r="H31" s="4">
        <f t="shared" si="1"/>
        <v>2795000</v>
      </c>
      <c r="I31" s="4">
        <f t="shared" si="2"/>
        <v>3022279762.4598804</v>
      </c>
      <c r="J31" s="9">
        <f t="shared" si="3"/>
        <v>3022.2797624598802</v>
      </c>
      <c r="K31" s="8">
        <v>135.16456898300001</v>
      </c>
      <c r="L31" s="10">
        <f t="shared" si="4"/>
        <v>8</v>
      </c>
      <c r="M31" s="11">
        <f>VLOOKUP(A31,'Building Age &amp; Tier'!$A$12:$I$33,7,FALSE())</f>
        <v>1986</v>
      </c>
      <c r="N31" s="12" t="str">
        <f>VLOOKUP(A31,'Building Age &amp; Tier'!$A$12:$I$33,9,FALSE())</f>
        <v>Renovate</v>
      </c>
    </row>
    <row r="32" spans="1:14" ht="15" customHeight="1">
      <c r="A32" s="6">
        <v>5039</v>
      </c>
      <c r="B32" s="6" t="s">
        <v>11</v>
      </c>
      <c r="C32" s="7">
        <v>111</v>
      </c>
      <c r="D32" s="7">
        <v>3</v>
      </c>
      <c r="E32" s="8">
        <v>12.3</v>
      </c>
      <c r="F32" s="8">
        <v>178.066567494</v>
      </c>
      <c r="G32" s="9">
        <f t="shared" si="0"/>
        <v>534.19970248200002</v>
      </c>
      <c r="H32" s="4">
        <f t="shared" si="1"/>
        <v>2795000</v>
      </c>
      <c r="I32" s="4">
        <f t="shared" si="2"/>
        <v>1493088168.4371901</v>
      </c>
      <c r="J32" s="9">
        <f t="shared" si="3"/>
        <v>1493.08816843719</v>
      </c>
      <c r="K32" s="8">
        <v>178.066567494</v>
      </c>
      <c r="L32" s="10">
        <f t="shared" si="4"/>
        <v>3</v>
      </c>
      <c r="M32" s="11">
        <f>VLOOKUP(A32,'Building Age &amp; Tier'!$A$12:$I$33,7,FALSE())</f>
        <v>1978</v>
      </c>
      <c r="N32" s="12" t="str">
        <f>VLOOKUP(A32,'Building Age &amp; Tier'!$A$12:$I$33,9,FALSE())</f>
        <v>Reconstruct</v>
      </c>
    </row>
    <row r="33" spans="1:14" ht="15" customHeight="1">
      <c r="A33" s="6">
        <v>5050</v>
      </c>
      <c r="B33" s="6" t="s">
        <v>5</v>
      </c>
      <c r="C33" s="7">
        <v>121</v>
      </c>
      <c r="D33" s="7">
        <v>6</v>
      </c>
      <c r="E33" s="8">
        <v>27.5</v>
      </c>
      <c r="F33" s="8">
        <v>48.753282007499998</v>
      </c>
      <c r="G33" s="9">
        <f t="shared" si="0"/>
        <v>292.519692045</v>
      </c>
      <c r="H33" s="4">
        <f t="shared" si="1"/>
        <v>2795000</v>
      </c>
      <c r="I33" s="4">
        <f t="shared" si="2"/>
        <v>817592539.26577497</v>
      </c>
      <c r="J33" s="9">
        <f t="shared" si="3"/>
        <v>817.59253926577492</v>
      </c>
      <c r="K33" s="8">
        <v>48.753282007499998</v>
      </c>
      <c r="L33" s="10">
        <f t="shared" si="4"/>
        <v>6</v>
      </c>
      <c r="M33" s="11">
        <f>VLOOKUP(A33,'Building Age &amp; Tier'!$A$12:$I$33,7,FALSE())</f>
        <v>1975</v>
      </c>
      <c r="N33" s="12" t="str">
        <f>VLOOKUP(A33,'Building Age &amp; Tier'!$A$12:$I$33,9,FALSE())</f>
        <v>Reconstruct</v>
      </c>
    </row>
    <row r="34" spans="1:14" ht="15" customHeight="1">
      <c r="A34" s="101" t="s">
        <v>27</v>
      </c>
      <c r="B34" s="101"/>
      <c r="C34" s="101"/>
      <c r="D34" s="101"/>
      <c r="E34" s="101"/>
      <c r="F34" s="101"/>
      <c r="G34" s="13">
        <f>SUM(G12:G33)</f>
        <v>25315.934758509604</v>
      </c>
      <c r="H34" s="14"/>
      <c r="I34" s="15">
        <f>SUM(I12:I33)</f>
        <v>69744520747.030762</v>
      </c>
      <c r="J34" s="13">
        <f>SUM(J12:J33)</f>
        <v>69744.520747030765</v>
      </c>
      <c r="K34" s="13">
        <f>SUM(K12:K33)</f>
        <v>4127.3673718337996</v>
      </c>
      <c r="L34" s="16">
        <f>AVERAGE(L12:L33)</f>
        <v>5.5909090909090908</v>
      </c>
      <c r="M34" s="14"/>
      <c r="N34" s="14"/>
    </row>
    <row r="35" spans="1:14" ht="15" customHeight="1">
      <c r="A35" s="108" t="s">
        <v>28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7" spans="1:14" ht="15" customHeight="1">
      <c r="A37" s="106" t="s">
        <v>29</v>
      </c>
      <c r="B37" s="106"/>
      <c r="C37" s="106"/>
      <c r="D37" s="106"/>
      <c r="E37" s="106"/>
    </row>
    <row r="38" spans="1:14" ht="15" customHeight="1">
      <c r="A38" s="1" t="s">
        <v>2</v>
      </c>
      <c r="B38" s="1" t="s">
        <v>30</v>
      </c>
      <c r="C38" s="1" t="s">
        <v>31</v>
      </c>
      <c r="D38" s="1" t="s">
        <v>32</v>
      </c>
      <c r="E38" s="1" t="s">
        <v>33</v>
      </c>
    </row>
    <row r="39" spans="1:14" ht="15" customHeight="1">
      <c r="A39" s="2" t="s">
        <v>5</v>
      </c>
      <c r="B39" s="17">
        <f>COUNTIF($B$12:$B$33,A39)</f>
        <v>15</v>
      </c>
      <c r="C39" s="9">
        <f>SUMIF($B$12:$B$33,A39,$G$12:$G$33)</f>
        <v>23165.5654428987</v>
      </c>
      <c r="D39" s="9">
        <f>SUMIF($B$12:$B$33,A39,$J$12:$J$33)</f>
        <v>64747.755412901868</v>
      </c>
      <c r="E39" s="10">
        <f>AVERAGEIF($B$12:$B$33,A39,$L$12:$L$33)</f>
        <v>6.2</v>
      </c>
    </row>
    <row r="40" spans="1:14" ht="15" customHeight="1">
      <c r="A40" s="2" t="s">
        <v>7</v>
      </c>
      <c r="B40" s="17">
        <f>COUNTIF($B$12:$B$33,A40)</f>
        <v>5</v>
      </c>
      <c r="C40" s="9">
        <f>SUMIF($B$12:$B$33,A40,$G$12:$G$33)</f>
        <v>1146.9134999130001</v>
      </c>
      <c r="D40" s="9">
        <f>SUMIF($B$12:$B$33,A40,$J$12:$J$33)</f>
        <v>2648.2232712991172</v>
      </c>
      <c r="E40" s="10">
        <f>AVERAGEIF($B$12:$B$33,A40,$L$12:$L$33)</f>
        <v>3.6</v>
      </c>
    </row>
    <row r="41" spans="1:14" ht="15" customHeight="1">
      <c r="A41" s="2" t="s">
        <v>9</v>
      </c>
      <c r="B41" s="17">
        <f>COUNTIF($B$12:$B$33,A41)</f>
        <v>1</v>
      </c>
      <c r="C41" s="9">
        <f>SUMIF($B$12:$B$33,A41,$G$12:$G$33)</f>
        <v>469.25611321589997</v>
      </c>
      <c r="D41" s="9">
        <f>SUMIF($B$12:$B$33,A41,$J$12:$J$33)</f>
        <v>855.45389439258565</v>
      </c>
      <c r="E41" s="10">
        <f>AVERAGEIF($B$12:$B$33,A41,$L$12:$L$33)</f>
        <v>9</v>
      </c>
    </row>
    <row r="42" spans="1:14" ht="15" customHeight="1">
      <c r="A42" s="2" t="s">
        <v>11</v>
      </c>
      <c r="B42" s="17">
        <f>COUNTIF($B$12:$B$33,A42)</f>
        <v>1</v>
      </c>
      <c r="C42" s="9">
        <f>SUMIF($B$12:$B$33,A42,$G$12:$G$33)</f>
        <v>534.19970248200002</v>
      </c>
      <c r="D42" s="9">
        <f>SUMIF($B$12:$B$33,A42,$J$12:$J$33)</f>
        <v>1493.08816843719</v>
      </c>
      <c r="E42" s="10">
        <f>AVERAGEIF($B$12:$B$33,A42,$L$12:$L$33)</f>
        <v>3</v>
      </c>
    </row>
    <row r="43" spans="1:14" ht="15" customHeight="1">
      <c r="A43" s="1" t="s">
        <v>27</v>
      </c>
      <c r="B43" s="18">
        <f>SUM(B39:B42)</f>
        <v>22</v>
      </c>
      <c r="C43" s="13">
        <f>SUM(C39:C42)</f>
        <v>25315.9347585096</v>
      </c>
      <c r="D43" s="13">
        <f>SUM(D39:D42)</f>
        <v>69744.520747030765</v>
      </c>
      <c r="E43" s="16">
        <f>AVERAGE(L12:L33)</f>
        <v>5.5909090909090908</v>
      </c>
    </row>
    <row r="45" spans="1:14" ht="15" customHeight="1">
      <c r="A45" s="19" t="s">
        <v>34</v>
      </c>
    </row>
    <row r="46" spans="1:14" ht="15" customHeight="1">
      <c r="A46" s="108" t="s">
        <v>35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</row>
    <row r="47" spans="1:14" ht="15" customHeight="1">
      <c r="A47" s="108" t="s">
        <v>36</v>
      </c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</row>
    <row r="48" spans="1:14" ht="15" customHeight="1">
      <c r="A48" s="108" t="s">
        <v>37</v>
      </c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</row>
    <row r="49" spans="1:14" ht="15" customHeight="1">
      <c r="A49" s="108" t="s">
        <v>38</v>
      </c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</row>
    <row r="50" spans="1:14" ht="15" customHeight="1">
      <c r="A50" s="108" t="s">
        <v>39</v>
      </c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</row>
    <row r="51" spans="1:14" ht="15" customHeight="1">
      <c r="A51" s="108" t="s">
        <v>40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</row>
    <row r="52" spans="1:14" ht="15" customHeight="1">
      <c r="A52" s="108" t="s">
        <v>41</v>
      </c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</row>
    <row r="53" spans="1:14" ht="15" customHeight="1">
      <c r="A53" s="108" t="s">
        <v>42</v>
      </c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</row>
    <row r="54" spans="1:14" ht="15" customHeight="1">
      <c r="A54" s="108" t="s">
        <v>43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</row>
    <row r="55" spans="1:14" ht="15" customHeight="1">
      <c r="A55" s="108" t="s">
        <v>44</v>
      </c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</row>
    <row r="56" spans="1:14" ht="15" customHeight="1">
      <c r="A56" s="108" t="s">
        <v>45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</row>
    <row r="57" spans="1:14" ht="15" customHeight="1">
      <c r="A57" s="108" t="s">
        <v>46</v>
      </c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</row>
    <row r="58" spans="1:14" ht="15" customHeight="1">
      <c r="A58" s="108" t="s">
        <v>47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</row>
  </sheetData>
  <mergeCells count="24">
    <mergeCell ref="A1:N1"/>
    <mergeCell ref="A3:D3"/>
    <mergeCell ref="C4:D4"/>
    <mergeCell ref="C5:D5"/>
    <mergeCell ref="C6:D6"/>
    <mergeCell ref="C7:D7"/>
    <mergeCell ref="C8:D8"/>
    <mergeCell ref="A10:N10"/>
    <mergeCell ref="A34:F34"/>
    <mergeCell ref="A35:N35"/>
    <mergeCell ref="A37:E37"/>
    <mergeCell ref="A46:N46"/>
    <mergeCell ref="A47:N47"/>
    <mergeCell ref="A48:N48"/>
    <mergeCell ref="A49:N49"/>
    <mergeCell ref="A55:N55"/>
    <mergeCell ref="A56:N56"/>
    <mergeCell ref="A57:N57"/>
    <mergeCell ref="A58:N58"/>
    <mergeCell ref="A50:N50"/>
    <mergeCell ref="A51:N51"/>
    <mergeCell ref="A52:N52"/>
    <mergeCell ref="A53:N53"/>
    <mergeCell ref="A54:N5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zoomScale="125" zoomScaleNormal="100" workbookViewId="0">
      <selection sqref="A1:I1"/>
    </sheetView>
  </sheetViews>
  <sheetFormatPr defaultColWidth="8.7109375" defaultRowHeight="15"/>
  <cols>
    <col min="1" max="1" width="8" customWidth="1"/>
    <col min="2" max="2" width="30" customWidth="1"/>
    <col min="3" max="3" width="8" customWidth="1"/>
    <col min="4" max="4" width="26" customWidth="1"/>
    <col min="5" max="5" width="14" customWidth="1"/>
    <col min="6" max="6" width="12" customWidth="1"/>
    <col min="7" max="7" width="11" customWidth="1"/>
    <col min="8" max="8" width="12" customWidth="1"/>
    <col min="9" max="9" width="14" customWidth="1"/>
  </cols>
  <sheetData>
    <row r="1" spans="1:9" ht="15.75" customHeight="1">
      <c r="A1" s="105" t="s">
        <v>48</v>
      </c>
      <c r="B1" s="105"/>
      <c r="C1" s="105"/>
      <c r="D1" s="105"/>
      <c r="E1" s="105"/>
      <c r="F1" s="105"/>
      <c r="G1" s="105"/>
      <c r="H1" s="105"/>
      <c r="I1" s="105"/>
    </row>
    <row r="3" spans="1:9" ht="15" customHeight="1">
      <c r="A3" s="106" t="s">
        <v>49</v>
      </c>
      <c r="B3" s="106"/>
      <c r="C3" s="106"/>
      <c r="D3" s="106"/>
      <c r="E3" s="106"/>
      <c r="G3" s="1" t="s">
        <v>50</v>
      </c>
      <c r="H3" s="7">
        <v>2026</v>
      </c>
    </row>
    <row r="4" spans="1:9" ht="15" customHeight="1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</row>
    <row r="5" spans="1:9" ht="15" customHeight="1">
      <c r="A5" s="2" t="s">
        <v>56</v>
      </c>
      <c r="B5" s="7">
        <v>1980</v>
      </c>
      <c r="C5" s="17">
        <f>$H$3-B5</f>
        <v>46</v>
      </c>
      <c r="D5" s="20" t="s">
        <v>57</v>
      </c>
      <c r="E5" s="2" t="s">
        <v>58</v>
      </c>
    </row>
    <row r="6" spans="1:9" ht="15" customHeight="1">
      <c r="A6" s="2" t="s">
        <v>59</v>
      </c>
      <c r="B6" s="7">
        <v>2000</v>
      </c>
      <c r="C6" s="17">
        <f>$H$3-B6</f>
        <v>26</v>
      </c>
      <c r="D6" s="20" t="s">
        <v>60</v>
      </c>
      <c r="E6" s="2" t="s">
        <v>61</v>
      </c>
    </row>
    <row r="7" spans="1:9" ht="15" customHeight="1">
      <c r="A7" s="2" t="s">
        <v>62</v>
      </c>
      <c r="B7" s="2" t="s">
        <v>63</v>
      </c>
      <c r="C7" s="21"/>
      <c r="D7" s="20" t="s">
        <v>64</v>
      </c>
      <c r="E7" s="2" t="s">
        <v>65</v>
      </c>
    </row>
    <row r="10" spans="1:9" ht="15" customHeight="1">
      <c r="A10" s="106" t="s">
        <v>66</v>
      </c>
      <c r="B10" s="106"/>
      <c r="C10" s="106"/>
      <c r="D10" s="106"/>
      <c r="E10" s="106"/>
      <c r="F10" s="106"/>
      <c r="G10" s="106"/>
      <c r="H10" s="106"/>
      <c r="I10" s="106"/>
    </row>
    <row r="11" spans="1:9" ht="31.5" customHeight="1">
      <c r="A11" s="5" t="s">
        <v>14</v>
      </c>
      <c r="B11" s="5" t="s">
        <v>2</v>
      </c>
      <c r="C11" s="5" t="s">
        <v>16</v>
      </c>
      <c r="D11" s="5" t="s">
        <v>67</v>
      </c>
      <c r="E11" s="5" t="s">
        <v>68</v>
      </c>
      <c r="F11" s="5" t="s">
        <v>69</v>
      </c>
      <c r="G11" s="5" t="s">
        <v>25</v>
      </c>
      <c r="H11" s="5" t="s">
        <v>70</v>
      </c>
      <c r="I11" s="5" t="s">
        <v>26</v>
      </c>
    </row>
    <row r="12" spans="1:9" ht="15" customHeight="1">
      <c r="A12" s="2">
        <v>2070</v>
      </c>
      <c r="B12" s="2" t="s">
        <v>5</v>
      </c>
      <c r="C12" s="17">
        <v>5</v>
      </c>
      <c r="D12" s="22" t="s">
        <v>71</v>
      </c>
      <c r="E12" s="17">
        <v>232</v>
      </c>
      <c r="F12" s="20" t="s">
        <v>5</v>
      </c>
      <c r="G12" s="7">
        <v>2019</v>
      </c>
      <c r="H12" s="2">
        <f t="shared" ref="H12:H33" si="0">IF(G12="","TBD",$H$3-G12)</f>
        <v>7</v>
      </c>
      <c r="I12" s="12" t="str">
        <f t="shared" ref="I12:I33" si="1">IF(G12="","TBD",IF(G12&lt;=$B$5,"Reconstruct",IF(G12&lt;=$B$6,"Renovate","Maintenance")))</f>
        <v>Maintenance</v>
      </c>
    </row>
    <row r="13" spans="1:9" ht="15" customHeight="1">
      <c r="A13" s="2">
        <v>2563</v>
      </c>
      <c r="B13" s="2" t="s">
        <v>7</v>
      </c>
      <c r="C13" s="17">
        <v>2</v>
      </c>
      <c r="D13" s="23" t="s">
        <v>72</v>
      </c>
      <c r="E13" s="2"/>
      <c r="F13" s="20"/>
      <c r="G13" s="6"/>
      <c r="H13" s="2" t="str">
        <f t="shared" si="0"/>
        <v>TBD</v>
      </c>
      <c r="I13" s="12" t="str">
        <f t="shared" si="1"/>
        <v>TBD</v>
      </c>
    </row>
    <row r="14" spans="1:9" ht="15" customHeight="1">
      <c r="A14" s="2">
        <v>3037</v>
      </c>
      <c r="B14" s="2" t="s">
        <v>5</v>
      </c>
      <c r="C14" s="17">
        <v>4</v>
      </c>
      <c r="D14" s="22" t="s">
        <v>71</v>
      </c>
      <c r="E14" s="17">
        <v>241</v>
      </c>
      <c r="F14" s="20" t="s">
        <v>5</v>
      </c>
      <c r="G14" s="7">
        <v>1967</v>
      </c>
      <c r="H14" s="2">
        <f t="shared" si="0"/>
        <v>59</v>
      </c>
      <c r="I14" s="12" t="str">
        <f t="shared" si="1"/>
        <v>Reconstruct</v>
      </c>
    </row>
    <row r="15" spans="1:9" ht="15" customHeight="1">
      <c r="A15" s="2">
        <v>3042</v>
      </c>
      <c r="B15" s="2" t="s">
        <v>5</v>
      </c>
      <c r="C15" s="17">
        <v>6</v>
      </c>
      <c r="D15" s="23" t="s">
        <v>72</v>
      </c>
      <c r="E15" s="2"/>
      <c r="F15" s="20"/>
      <c r="G15" s="6"/>
      <c r="H15" s="2" t="str">
        <f t="shared" si="0"/>
        <v>TBD</v>
      </c>
      <c r="I15" s="12" t="str">
        <f t="shared" si="1"/>
        <v>TBD</v>
      </c>
    </row>
    <row r="16" spans="1:9" ht="15" customHeight="1">
      <c r="A16" s="2">
        <v>3044</v>
      </c>
      <c r="B16" s="2" t="s">
        <v>5</v>
      </c>
      <c r="C16" s="17">
        <v>6</v>
      </c>
      <c r="D16" s="22" t="s">
        <v>71</v>
      </c>
      <c r="E16" s="17">
        <v>226</v>
      </c>
      <c r="F16" s="20" t="s">
        <v>5</v>
      </c>
      <c r="G16" s="7">
        <v>2010</v>
      </c>
      <c r="H16" s="2">
        <f t="shared" si="0"/>
        <v>16</v>
      </c>
      <c r="I16" s="12" t="str">
        <f t="shared" si="1"/>
        <v>Maintenance</v>
      </c>
    </row>
    <row r="17" spans="1:9" ht="15" customHeight="1">
      <c r="A17" s="2">
        <v>3065</v>
      </c>
      <c r="B17" s="2" t="s">
        <v>7</v>
      </c>
      <c r="C17" s="17">
        <v>3</v>
      </c>
      <c r="D17" s="23" t="s">
        <v>72</v>
      </c>
      <c r="E17" s="2"/>
      <c r="F17" s="20"/>
      <c r="G17" s="6"/>
      <c r="H17" s="2" t="str">
        <f t="shared" si="0"/>
        <v>TBD</v>
      </c>
      <c r="I17" s="12" t="str">
        <f t="shared" si="1"/>
        <v>TBD</v>
      </c>
    </row>
    <row r="18" spans="1:9" ht="15" customHeight="1">
      <c r="A18" s="2">
        <v>3067</v>
      </c>
      <c r="B18" s="2" t="s">
        <v>5</v>
      </c>
      <c r="C18" s="17">
        <v>2</v>
      </c>
      <c r="D18" s="22" t="s">
        <v>71</v>
      </c>
      <c r="E18" s="17">
        <v>252</v>
      </c>
      <c r="F18" s="20" t="s">
        <v>5</v>
      </c>
      <c r="G18" s="7">
        <v>1995</v>
      </c>
      <c r="H18" s="2">
        <f t="shared" si="0"/>
        <v>31</v>
      </c>
      <c r="I18" s="12" t="str">
        <f t="shared" si="1"/>
        <v>Renovate</v>
      </c>
    </row>
    <row r="19" spans="1:9" ht="15" customHeight="1">
      <c r="A19" s="2">
        <v>3074</v>
      </c>
      <c r="B19" s="2" t="s">
        <v>7</v>
      </c>
      <c r="C19" s="17">
        <v>8</v>
      </c>
      <c r="D19" s="22" t="s">
        <v>71</v>
      </c>
      <c r="E19" s="17">
        <v>242</v>
      </c>
      <c r="F19" s="20" t="s">
        <v>73</v>
      </c>
      <c r="G19" s="7">
        <v>1998</v>
      </c>
      <c r="H19" s="2">
        <f t="shared" si="0"/>
        <v>28</v>
      </c>
      <c r="I19" s="12" t="str">
        <f t="shared" si="1"/>
        <v>Renovate</v>
      </c>
    </row>
    <row r="20" spans="1:9" ht="15" customHeight="1">
      <c r="A20" s="2">
        <v>3078</v>
      </c>
      <c r="B20" s="2" t="s">
        <v>5</v>
      </c>
      <c r="C20" s="17">
        <v>5</v>
      </c>
      <c r="D20" s="22" t="s">
        <v>71</v>
      </c>
      <c r="E20" s="17">
        <v>228</v>
      </c>
      <c r="F20" s="20" t="s">
        <v>5</v>
      </c>
      <c r="G20" s="7">
        <v>1962</v>
      </c>
      <c r="H20" s="2">
        <f t="shared" si="0"/>
        <v>64</v>
      </c>
      <c r="I20" s="12" t="str">
        <f t="shared" si="1"/>
        <v>Reconstruct</v>
      </c>
    </row>
    <row r="21" spans="1:9" ht="15" customHeight="1">
      <c r="A21" s="2">
        <v>3486</v>
      </c>
      <c r="B21" s="2" t="s">
        <v>9</v>
      </c>
      <c r="C21" s="17">
        <v>9</v>
      </c>
      <c r="D21" s="22" t="s">
        <v>71</v>
      </c>
      <c r="E21" s="17">
        <v>259</v>
      </c>
      <c r="F21" s="20" t="s">
        <v>73</v>
      </c>
      <c r="G21" s="7">
        <v>2009</v>
      </c>
      <c r="H21" s="2">
        <f t="shared" si="0"/>
        <v>17</v>
      </c>
      <c r="I21" s="12" t="str">
        <f t="shared" si="1"/>
        <v>Maintenance</v>
      </c>
    </row>
    <row r="22" spans="1:9" ht="15" customHeight="1">
      <c r="A22" s="2">
        <v>3550</v>
      </c>
      <c r="B22" s="2" t="s">
        <v>5</v>
      </c>
      <c r="C22" s="17">
        <v>6</v>
      </c>
      <c r="D22" s="22" t="s">
        <v>71</v>
      </c>
      <c r="E22" s="17">
        <v>237</v>
      </c>
      <c r="F22" s="20" t="s">
        <v>5</v>
      </c>
      <c r="G22" s="7">
        <v>1968</v>
      </c>
      <c r="H22" s="2">
        <f t="shared" si="0"/>
        <v>58</v>
      </c>
      <c r="I22" s="12" t="str">
        <f t="shared" si="1"/>
        <v>Reconstruct</v>
      </c>
    </row>
    <row r="23" spans="1:9" ht="15" customHeight="1">
      <c r="A23" s="2">
        <v>3552</v>
      </c>
      <c r="B23" s="2" t="s">
        <v>7</v>
      </c>
      <c r="C23" s="17">
        <v>2</v>
      </c>
      <c r="D23" s="22" t="s">
        <v>71</v>
      </c>
      <c r="E23" s="17">
        <v>231</v>
      </c>
      <c r="F23" s="20" t="s">
        <v>73</v>
      </c>
      <c r="G23" s="7">
        <v>2020</v>
      </c>
      <c r="H23" s="2">
        <f t="shared" si="0"/>
        <v>6</v>
      </c>
      <c r="I23" s="12" t="str">
        <f t="shared" si="1"/>
        <v>Maintenance</v>
      </c>
    </row>
    <row r="24" spans="1:9" ht="15" customHeight="1">
      <c r="A24" s="2">
        <v>3554</v>
      </c>
      <c r="B24" s="2" t="s">
        <v>5</v>
      </c>
      <c r="C24" s="17">
        <v>9</v>
      </c>
      <c r="D24" s="22" t="s">
        <v>71</v>
      </c>
      <c r="E24" s="17">
        <v>243</v>
      </c>
      <c r="F24" s="20" t="s">
        <v>5</v>
      </c>
      <c r="G24" s="7">
        <v>1993</v>
      </c>
      <c r="H24" s="2">
        <f t="shared" si="0"/>
        <v>33</v>
      </c>
      <c r="I24" s="12" t="str">
        <f t="shared" si="1"/>
        <v>Renovate</v>
      </c>
    </row>
    <row r="25" spans="1:9" ht="15" customHeight="1">
      <c r="A25" s="2">
        <v>3562</v>
      </c>
      <c r="B25" s="2" t="s">
        <v>5</v>
      </c>
      <c r="C25" s="17">
        <v>8</v>
      </c>
      <c r="D25" s="22" t="s">
        <v>71</v>
      </c>
      <c r="E25" s="17">
        <v>229</v>
      </c>
      <c r="F25" s="20" t="s">
        <v>5</v>
      </c>
      <c r="G25" s="7">
        <v>1983</v>
      </c>
      <c r="H25" s="2">
        <f t="shared" si="0"/>
        <v>43</v>
      </c>
      <c r="I25" s="12" t="str">
        <f t="shared" si="1"/>
        <v>Renovate</v>
      </c>
    </row>
    <row r="26" spans="1:9" ht="15" customHeight="1">
      <c r="A26" s="2">
        <v>4050</v>
      </c>
      <c r="B26" s="2" t="s">
        <v>5</v>
      </c>
      <c r="C26" s="17">
        <v>9</v>
      </c>
      <c r="D26" s="22" t="s">
        <v>71</v>
      </c>
      <c r="E26" s="17">
        <v>225</v>
      </c>
      <c r="F26" s="20" t="s">
        <v>5</v>
      </c>
      <c r="G26" s="7">
        <v>1995</v>
      </c>
      <c r="H26" s="2">
        <f t="shared" si="0"/>
        <v>31</v>
      </c>
      <c r="I26" s="12" t="str">
        <f t="shared" si="1"/>
        <v>Renovate</v>
      </c>
    </row>
    <row r="27" spans="1:9" ht="15" customHeight="1">
      <c r="A27" s="2">
        <v>4062</v>
      </c>
      <c r="B27" s="2" t="s">
        <v>5</v>
      </c>
      <c r="C27" s="17">
        <v>9</v>
      </c>
      <c r="D27" s="22" t="s">
        <v>71</v>
      </c>
      <c r="E27" s="17">
        <v>245</v>
      </c>
      <c r="F27" s="20" t="s">
        <v>5</v>
      </c>
      <c r="G27" s="7">
        <v>1988</v>
      </c>
      <c r="H27" s="2">
        <f t="shared" si="0"/>
        <v>38</v>
      </c>
      <c r="I27" s="12" t="str">
        <f t="shared" si="1"/>
        <v>Renovate</v>
      </c>
    </row>
    <row r="28" spans="1:9" ht="15" customHeight="1">
      <c r="A28" s="2">
        <v>4560</v>
      </c>
      <c r="B28" s="2" t="s">
        <v>7</v>
      </c>
      <c r="C28" s="17">
        <v>3</v>
      </c>
      <c r="D28" s="22" t="s">
        <v>71</v>
      </c>
      <c r="E28" s="17">
        <v>223</v>
      </c>
      <c r="F28" s="20" t="s">
        <v>73</v>
      </c>
      <c r="G28" s="7">
        <v>2004</v>
      </c>
      <c r="H28" s="2">
        <f t="shared" si="0"/>
        <v>22</v>
      </c>
      <c r="I28" s="12" t="str">
        <f t="shared" si="1"/>
        <v>Maintenance</v>
      </c>
    </row>
    <row r="29" spans="1:9" ht="15" customHeight="1">
      <c r="A29" s="2">
        <v>4562</v>
      </c>
      <c r="B29" s="2" t="s">
        <v>5</v>
      </c>
      <c r="C29" s="17">
        <v>5</v>
      </c>
      <c r="D29" s="22" t="s">
        <v>71</v>
      </c>
      <c r="E29" s="17">
        <v>224</v>
      </c>
      <c r="F29" s="20" t="s">
        <v>5</v>
      </c>
      <c r="G29" s="7">
        <v>1998</v>
      </c>
      <c r="H29" s="2">
        <f t="shared" si="0"/>
        <v>28</v>
      </c>
      <c r="I29" s="12" t="str">
        <f t="shared" si="1"/>
        <v>Renovate</v>
      </c>
    </row>
    <row r="30" spans="1:9" ht="15" customHeight="1">
      <c r="A30" s="2">
        <v>4569</v>
      </c>
      <c r="B30" s="2" t="s">
        <v>5</v>
      </c>
      <c r="C30" s="17">
        <v>5</v>
      </c>
      <c r="D30" s="22" t="s">
        <v>71</v>
      </c>
      <c r="E30" s="17">
        <v>227</v>
      </c>
      <c r="F30" s="20" t="s">
        <v>5</v>
      </c>
      <c r="G30" s="7">
        <v>1984</v>
      </c>
      <c r="H30" s="2">
        <f t="shared" si="0"/>
        <v>42</v>
      </c>
      <c r="I30" s="12" t="str">
        <f t="shared" si="1"/>
        <v>Renovate</v>
      </c>
    </row>
    <row r="31" spans="1:9" ht="15" customHeight="1">
      <c r="A31" s="2">
        <v>4571</v>
      </c>
      <c r="B31" s="2" t="s">
        <v>5</v>
      </c>
      <c r="C31" s="17">
        <v>8</v>
      </c>
      <c r="D31" s="22" t="s">
        <v>71</v>
      </c>
      <c r="E31" s="17">
        <v>233</v>
      </c>
      <c r="F31" s="20" t="s">
        <v>5</v>
      </c>
      <c r="G31" s="7">
        <v>1986</v>
      </c>
      <c r="H31" s="2">
        <f t="shared" si="0"/>
        <v>40</v>
      </c>
      <c r="I31" s="12" t="str">
        <f t="shared" si="1"/>
        <v>Renovate</v>
      </c>
    </row>
    <row r="32" spans="1:9" ht="15" customHeight="1">
      <c r="A32" s="2">
        <v>5039</v>
      </c>
      <c r="B32" s="2" t="s">
        <v>11</v>
      </c>
      <c r="C32" s="17">
        <v>3</v>
      </c>
      <c r="D32" s="22" t="s">
        <v>71</v>
      </c>
      <c r="E32" s="17">
        <v>222</v>
      </c>
      <c r="F32" s="20" t="s">
        <v>5</v>
      </c>
      <c r="G32" s="7">
        <v>1978</v>
      </c>
      <c r="H32" s="2">
        <f t="shared" si="0"/>
        <v>48</v>
      </c>
      <c r="I32" s="12" t="str">
        <f t="shared" si="1"/>
        <v>Reconstruct</v>
      </c>
    </row>
    <row r="33" spans="1:9" ht="15" customHeight="1">
      <c r="A33" s="2">
        <v>5050</v>
      </c>
      <c r="B33" s="2" t="s">
        <v>5</v>
      </c>
      <c r="C33" s="17">
        <v>6</v>
      </c>
      <c r="D33" s="22" t="s">
        <v>71</v>
      </c>
      <c r="E33" s="17">
        <v>239</v>
      </c>
      <c r="F33" s="20" t="s">
        <v>5</v>
      </c>
      <c r="G33" s="7">
        <v>1975</v>
      </c>
      <c r="H33" s="2">
        <f t="shared" si="0"/>
        <v>51</v>
      </c>
      <c r="I33" s="12" t="str">
        <f t="shared" si="1"/>
        <v>Reconstruct</v>
      </c>
    </row>
    <row r="35" spans="1:9" ht="15" customHeight="1">
      <c r="A35" s="19" t="s">
        <v>74</v>
      </c>
    </row>
    <row r="36" spans="1:9" ht="27.75" customHeight="1">
      <c r="A36" s="102" t="s">
        <v>75</v>
      </c>
      <c r="B36" s="102"/>
      <c r="C36" s="102"/>
      <c r="D36" s="102"/>
      <c r="E36" s="102"/>
      <c r="F36" s="102"/>
      <c r="G36" s="102"/>
      <c r="H36" s="102"/>
      <c r="I36" s="102"/>
    </row>
    <row r="37" spans="1:9" ht="27.75" customHeight="1">
      <c r="A37" s="102" t="s">
        <v>76</v>
      </c>
      <c r="B37" s="102"/>
      <c r="C37" s="102"/>
      <c r="D37" s="102"/>
      <c r="E37" s="102"/>
      <c r="F37" s="102"/>
      <c r="G37" s="102"/>
      <c r="H37" s="102"/>
      <c r="I37" s="102"/>
    </row>
    <row r="38" spans="1:9" ht="27.75" customHeight="1">
      <c r="A38" s="102" t="s">
        <v>77</v>
      </c>
      <c r="B38" s="102"/>
      <c r="C38" s="102"/>
      <c r="D38" s="102"/>
      <c r="E38" s="102"/>
      <c r="F38" s="102"/>
      <c r="G38" s="102"/>
      <c r="H38" s="102"/>
      <c r="I38" s="102"/>
    </row>
    <row r="39" spans="1:9" ht="27.75" customHeight="1">
      <c r="A39" s="102" t="s">
        <v>78</v>
      </c>
      <c r="B39" s="102"/>
      <c r="C39" s="102"/>
      <c r="D39" s="102"/>
      <c r="E39" s="102"/>
      <c r="F39" s="102"/>
      <c r="G39" s="102"/>
      <c r="H39" s="102"/>
      <c r="I39" s="102"/>
    </row>
    <row r="41" spans="1:9" ht="15" customHeight="1">
      <c r="A41" s="106" t="s">
        <v>79</v>
      </c>
      <c r="B41" s="106"/>
      <c r="C41" s="106"/>
      <c r="D41" s="106"/>
    </row>
    <row r="42" spans="1:9" ht="15" customHeight="1">
      <c r="A42" s="1" t="s">
        <v>51</v>
      </c>
      <c r="B42" s="1" t="s">
        <v>30</v>
      </c>
      <c r="C42" s="1" t="s">
        <v>31</v>
      </c>
      <c r="D42" s="1" t="s">
        <v>32</v>
      </c>
    </row>
    <row r="43" spans="1:9" ht="15" customHeight="1">
      <c r="A43" s="2" t="s">
        <v>56</v>
      </c>
      <c r="B43" s="17">
        <f>COUNTIF($I$12:$I$33,A43)</f>
        <v>5</v>
      </c>
      <c r="C43" s="9">
        <f>SUMIF($I$12:$I$33,A43,'Property Value Estimates'!$G$12:$G$33)</f>
        <v>5890.3792469620003</v>
      </c>
      <c r="D43" s="9">
        <f>SUMIF($I$12:$I$33,A43,'Property Value Estimates'!$J$12:$J$33)</f>
        <v>16463.609995258794</v>
      </c>
    </row>
    <row r="44" spans="1:9" ht="15" customHeight="1">
      <c r="A44" s="2" t="s">
        <v>59</v>
      </c>
      <c r="B44" s="17">
        <f>COUNTIF($I$12:$I$33,A44)</f>
        <v>9</v>
      </c>
      <c r="C44" s="9">
        <f>SUMIF($I$12:$I$33,A44,'Property Value Estimates'!$G$12:$G$33)</f>
        <v>14120.467412390599</v>
      </c>
      <c r="D44" s="9">
        <f>SUMIF($I$12:$I$33,A44,'Property Value Estimates'!$J$12:$J$33)</f>
        <v>39183.036771256222</v>
      </c>
    </row>
    <row r="45" spans="1:9" ht="15" customHeight="1">
      <c r="A45" s="2" t="s">
        <v>62</v>
      </c>
      <c r="B45" s="17">
        <f>COUNTIF($I$12:$I$33,A45)</f>
        <v>5</v>
      </c>
      <c r="C45" s="9">
        <f>SUMIF($I$12:$I$33,A45,'Property Value Estimates'!$G$12:$G$33)</f>
        <v>1712.2075131432</v>
      </c>
      <c r="D45" s="9">
        <f>SUMIF($I$12:$I$33,A45,'Property Value Estimates'!$J$12:$J$33)</f>
        <v>4181.9522908022209</v>
      </c>
    </row>
    <row r="46" spans="1:9" ht="15" customHeight="1">
      <c r="A46" s="2" t="s">
        <v>80</v>
      </c>
      <c r="B46" s="17">
        <f>COUNTIF($I$12:$I$33,A46)</f>
        <v>3</v>
      </c>
      <c r="C46" s="9">
        <f>SUMIF($I$12:$I$33,A46,'Property Value Estimates'!$G$12:$G$33)</f>
        <v>3592.8805860138</v>
      </c>
      <c r="D46" s="9">
        <f>SUMIF($I$12:$I$33,A46,'Property Value Estimates'!$J$12:$J$33)</f>
        <v>9915.9216897135284</v>
      </c>
    </row>
    <row r="47" spans="1:9" ht="15" customHeight="1">
      <c r="A47" s="1" t="s">
        <v>27</v>
      </c>
      <c r="B47" s="18">
        <f>SUM(B43:B46)</f>
        <v>22</v>
      </c>
      <c r="C47" s="13">
        <f>SUM(C43:C46)</f>
        <v>25315.934758509597</v>
      </c>
      <c r="D47" s="13">
        <f>SUM(D43:D46)</f>
        <v>69744.520747030765</v>
      </c>
    </row>
    <row r="49" spans="1:9" ht="15" customHeight="1">
      <c r="A49" s="19" t="s">
        <v>34</v>
      </c>
    </row>
    <row r="50" spans="1:9" ht="27.75" customHeight="1">
      <c r="A50" s="102" t="s">
        <v>81</v>
      </c>
      <c r="B50" s="102"/>
      <c r="C50" s="102"/>
      <c r="D50" s="102"/>
      <c r="E50" s="102"/>
      <c r="F50" s="102"/>
      <c r="G50" s="102"/>
      <c r="H50" s="102"/>
      <c r="I50" s="102"/>
    </row>
    <row r="51" spans="1:9" ht="27.75" customHeight="1">
      <c r="A51" s="102" t="s">
        <v>82</v>
      </c>
      <c r="B51" s="102"/>
      <c r="C51" s="102"/>
      <c r="D51" s="102"/>
      <c r="E51" s="102"/>
      <c r="F51" s="102"/>
      <c r="G51" s="102"/>
      <c r="H51" s="102"/>
      <c r="I51" s="102"/>
    </row>
    <row r="52" spans="1:9" ht="27.75" customHeight="1">
      <c r="A52" s="102" t="s">
        <v>83</v>
      </c>
      <c r="B52" s="102"/>
      <c r="C52" s="102"/>
      <c r="D52" s="102"/>
      <c r="E52" s="102"/>
      <c r="F52" s="102"/>
      <c r="G52" s="102"/>
      <c r="H52" s="102"/>
      <c r="I52" s="102"/>
    </row>
    <row r="53" spans="1:9" ht="27.75" customHeight="1">
      <c r="A53" s="102" t="s">
        <v>84</v>
      </c>
      <c r="B53" s="102"/>
      <c r="C53" s="102"/>
      <c r="D53" s="102"/>
      <c r="E53" s="102"/>
      <c r="F53" s="102"/>
      <c r="G53" s="102"/>
      <c r="H53" s="102"/>
      <c r="I53" s="102"/>
    </row>
  </sheetData>
  <mergeCells count="12">
    <mergeCell ref="A1:I1"/>
    <mergeCell ref="A3:E3"/>
    <mergeCell ref="A10:I10"/>
    <mergeCell ref="A36:I36"/>
    <mergeCell ref="A37:I37"/>
    <mergeCell ref="A52:I52"/>
    <mergeCell ref="A53:I53"/>
    <mergeCell ref="A38:I38"/>
    <mergeCell ref="A39:I39"/>
    <mergeCell ref="A41:D41"/>
    <mergeCell ref="A50:I50"/>
    <mergeCell ref="A51:I5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6"/>
  <sheetViews>
    <sheetView topLeftCell="F4" zoomScaleNormal="100" workbookViewId="0">
      <selection activeCell="L9" sqref="L9"/>
    </sheetView>
  </sheetViews>
  <sheetFormatPr defaultColWidth="8.7109375" defaultRowHeight="15"/>
  <cols>
    <col min="1" max="1" width="13" customWidth="1"/>
    <col min="2" max="2" width="42" customWidth="1"/>
    <col min="3" max="3" width="13" customWidth="1"/>
    <col min="4" max="5" width="16" customWidth="1"/>
    <col min="6" max="6" width="24" customWidth="1"/>
    <col min="7" max="7" width="14.140625" bestFit="1" customWidth="1"/>
    <col min="8" max="8" width="16" customWidth="1"/>
    <col min="9" max="9" width="9" bestFit="1" customWidth="1"/>
    <col min="10" max="10" width="18.140625" bestFit="1" customWidth="1"/>
    <col min="11" max="11" width="13.140625" customWidth="1"/>
    <col min="12" max="12" width="18.85546875" style="42" customWidth="1"/>
    <col min="13" max="13" width="18.140625" customWidth="1"/>
    <col min="14" max="14" width="17.42578125" bestFit="1" customWidth="1"/>
    <col min="15" max="15" width="19" bestFit="1" customWidth="1"/>
    <col min="16" max="16" width="13.7109375" bestFit="1" customWidth="1"/>
    <col min="17" max="17" width="13.7109375" customWidth="1"/>
    <col min="18" max="18" width="13.7109375" bestFit="1" customWidth="1"/>
    <col min="19" max="20" width="15.7109375" bestFit="1" customWidth="1"/>
  </cols>
  <sheetData>
    <row r="1" spans="1:20" ht="15.75" customHeight="1">
      <c r="A1" s="105" t="s">
        <v>85</v>
      </c>
      <c r="B1" s="105"/>
      <c r="C1" s="105"/>
      <c r="D1" s="105"/>
      <c r="E1" s="105"/>
      <c r="F1" s="105"/>
      <c r="G1" s="105"/>
      <c r="H1" s="105"/>
    </row>
    <row r="3" spans="1:20" ht="15" customHeight="1">
      <c r="A3" s="106" t="s">
        <v>86</v>
      </c>
      <c r="B3" s="106"/>
      <c r="C3" s="106"/>
      <c r="D3" s="106"/>
      <c r="E3" s="106"/>
      <c r="F3" s="106"/>
      <c r="G3" s="106"/>
      <c r="H3" s="106"/>
    </row>
    <row r="4" spans="1:20" ht="39.75" customHeight="1">
      <c r="A4" s="109" t="s">
        <v>87</v>
      </c>
      <c r="B4" s="109"/>
      <c r="C4" s="109"/>
      <c r="D4" s="109"/>
      <c r="E4" s="3">
        <v>302000</v>
      </c>
      <c r="F4" s="100" t="s">
        <v>88</v>
      </c>
      <c r="G4" s="100"/>
      <c r="H4" s="100"/>
    </row>
    <row r="5" spans="1:20">
      <c r="N5">
        <v>160.31</v>
      </c>
    </row>
    <row r="6" spans="1:20" ht="15" customHeight="1">
      <c r="A6" s="1" t="s">
        <v>51</v>
      </c>
      <c r="B6" s="1" t="s">
        <v>89</v>
      </c>
      <c r="C6" s="1" t="s">
        <v>90</v>
      </c>
      <c r="D6" s="1" t="s">
        <v>91</v>
      </c>
      <c r="N6" t="s">
        <v>92</v>
      </c>
    </row>
    <row r="7" spans="1:20" ht="31.5" customHeight="1">
      <c r="A7" s="2" t="s">
        <v>56</v>
      </c>
      <c r="B7" s="24" t="s">
        <v>93</v>
      </c>
      <c r="C7" s="25">
        <v>1</v>
      </c>
      <c r="D7" s="4">
        <f>$E$4*C7</f>
        <v>302000</v>
      </c>
      <c r="J7" t="s">
        <v>94</v>
      </c>
      <c r="K7" t="s">
        <v>94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95</v>
      </c>
      <c r="T7" t="s">
        <v>95</v>
      </c>
    </row>
    <row r="8" spans="1:20" ht="31.5" customHeight="1" thickBot="1">
      <c r="A8" s="2" t="s">
        <v>59</v>
      </c>
      <c r="B8" s="24" t="s">
        <v>96</v>
      </c>
      <c r="C8" s="26">
        <v>0.45</v>
      </c>
      <c r="D8" s="4">
        <f>$E$4*C8</f>
        <v>135900</v>
      </c>
    </row>
    <row r="9" spans="1:20" ht="63.95">
      <c r="A9" s="2" t="s">
        <v>62</v>
      </c>
      <c r="B9" s="24" t="s">
        <v>97</v>
      </c>
      <c r="C9" s="26">
        <v>0.15</v>
      </c>
      <c r="D9" s="4">
        <f>$E$4*C9</f>
        <v>45300</v>
      </c>
      <c r="J9" s="49" t="s">
        <v>98</v>
      </c>
      <c r="K9" s="47" t="s">
        <v>99</v>
      </c>
      <c r="L9" s="44" t="s">
        <v>100</v>
      </c>
      <c r="M9" s="44" t="s">
        <v>101</v>
      </c>
      <c r="N9" s="45" t="s">
        <v>102</v>
      </c>
      <c r="O9" s="45" t="s">
        <v>103</v>
      </c>
      <c r="P9" s="45" t="s">
        <v>104</v>
      </c>
      <c r="Q9" s="58" t="s">
        <v>105</v>
      </c>
      <c r="R9" s="58" t="s">
        <v>106</v>
      </c>
      <c r="S9" s="45" t="s">
        <v>107</v>
      </c>
      <c r="T9" s="45" t="s">
        <v>108</v>
      </c>
    </row>
    <row r="10" spans="1:20">
      <c r="J10">
        <v>1264013</v>
      </c>
      <c r="K10">
        <f>J10*0.4</f>
        <v>505605.2</v>
      </c>
      <c r="L10" s="42">
        <v>197</v>
      </c>
      <c r="M10">
        <v>298</v>
      </c>
      <c r="N10" s="62">
        <f>423806*160.31</f>
        <v>67940339.859999999</v>
      </c>
      <c r="O10" s="63">
        <f>6408*160.31</f>
        <v>1027266.48</v>
      </c>
      <c r="P10" s="63">
        <f>11256* 160.31</f>
        <v>1804449.36</v>
      </c>
      <c r="Q10" s="63">
        <v>0</v>
      </c>
      <c r="R10" s="63">
        <f>19040.43* 160.31</f>
        <v>3052371.3333000001</v>
      </c>
      <c r="S10" s="63">
        <f>3025977* 160.31</f>
        <v>485094372.87</v>
      </c>
      <c r="T10" s="63">
        <f>2227050 * 160.31</f>
        <v>357018385.5</v>
      </c>
    </row>
    <row r="11" spans="1:20" ht="15" customHeight="1" thickBot="1">
      <c r="A11" s="106" t="s">
        <v>109</v>
      </c>
      <c r="B11" s="106"/>
      <c r="C11" s="106"/>
      <c r="D11" s="106"/>
      <c r="E11" s="106"/>
      <c r="F11" s="106"/>
      <c r="G11" s="106"/>
      <c r="H11" s="106"/>
    </row>
    <row r="12" spans="1:20" ht="63.95">
      <c r="A12" s="30" t="s">
        <v>14</v>
      </c>
      <c r="B12" s="31" t="s">
        <v>2</v>
      </c>
      <c r="C12" s="31" t="s">
        <v>19</v>
      </c>
      <c r="D12" s="32" t="s">
        <v>110</v>
      </c>
      <c r="E12" s="31" t="s">
        <v>26</v>
      </c>
      <c r="F12" s="31" t="s">
        <v>91</v>
      </c>
      <c r="G12" s="31" t="s">
        <v>111</v>
      </c>
      <c r="H12" s="31" t="s">
        <v>112</v>
      </c>
      <c r="I12" s="33" t="s">
        <v>113</v>
      </c>
      <c r="J12" s="49" t="s">
        <v>98</v>
      </c>
      <c r="K12" s="47" t="s">
        <v>99</v>
      </c>
      <c r="L12" s="52" t="s">
        <v>114</v>
      </c>
      <c r="M12" s="53" t="s">
        <v>101</v>
      </c>
      <c r="N12" s="48" t="s">
        <v>102</v>
      </c>
      <c r="O12" s="48" t="s">
        <v>115</v>
      </c>
      <c r="P12" s="48" t="s">
        <v>116</v>
      </c>
      <c r="Q12" s="59" t="s">
        <v>105</v>
      </c>
      <c r="R12" s="60" t="s">
        <v>106</v>
      </c>
      <c r="S12" s="45" t="s">
        <v>107</v>
      </c>
      <c r="T12" s="45" t="s">
        <v>108</v>
      </c>
    </row>
    <row r="13" spans="1:20" ht="15" customHeight="1">
      <c r="A13" s="34">
        <f>'Property Value Estimates'!A12</f>
        <v>2070</v>
      </c>
      <c r="B13" s="21" t="str">
        <f>'Property Value Estimates'!B12</f>
        <v>Office</v>
      </c>
      <c r="C13" s="27">
        <f>'Property Value Estimates'!G12</f>
        <v>410.53599996150001</v>
      </c>
      <c r="D13" s="35">
        <f>C13/$C$35</f>
        <v>1.62165056861471E-2</v>
      </c>
      <c r="E13" s="28" t="str">
        <f>'Property Value Estimates'!N12</f>
        <v>Maintenance</v>
      </c>
      <c r="F13" s="29">
        <f t="shared" ref="F13:F34" si="0">IFERROR(VLOOKUP(E13,$A$7:$D$9,4,FALSE()),"TBD")</f>
        <v>45300</v>
      </c>
      <c r="G13" s="29">
        <f t="shared" ref="G13:G34" si="1">IF(ISNUMBER(F13),C13*F13,"TBD")</f>
        <v>18597280.79825595</v>
      </c>
      <c r="H13" s="27">
        <f t="shared" ref="H13:H34" si="2">IF(ISNUMBER(G13),G13/1000000,"TBD")</f>
        <v>18.597280798255952</v>
      </c>
      <c r="I13" s="36">
        <f t="shared" ref="I13:I34" si="3">IF(ISNUMBER(G13),G13/C13,"TBD")</f>
        <v>45300</v>
      </c>
      <c r="J13" s="43">
        <f>$J$10*D13</f>
        <v>20497.874001863853</v>
      </c>
      <c r="K13" s="50">
        <f>$K$10*D13</f>
        <v>8199.1496007455426</v>
      </c>
      <c r="L13" s="54">
        <f>$L$10*D13</f>
        <v>3.1946516201709789</v>
      </c>
      <c r="M13" s="55">
        <f>$M$10*$D13</f>
        <v>4.8325186944718359</v>
      </c>
      <c r="N13" s="64">
        <f t="shared" ref="N13:N35" si="4">$N$10*D13</f>
        <v>1101754.9076584564</v>
      </c>
      <c r="O13" s="64">
        <f t="shared" ref="O13:O35" si="5">$O$10*$D13</f>
        <v>16658.672714108317</v>
      </c>
      <c r="P13" s="64">
        <f t="shared" ref="P13:P35" si="6">$P$10*$D13</f>
        <v>29261.863306804498</v>
      </c>
      <c r="Q13" s="65">
        <f>$Q$10*$D13</f>
        <v>0</v>
      </c>
      <c r="R13" s="66">
        <f>$R$10*$D13</f>
        <v>49498.797082691854</v>
      </c>
      <c r="S13" s="66">
        <f>$S$10*$D13</f>
        <v>7866535.6559643168</v>
      </c>
      <c r="T13" s="66">
        <f>$T$10*$D13</f>
        <v>5789590.6785198078</v>
      </c>
    </row>
    <row r="14" spans="1:20" ht="15" customHeight="1">
      <c r="A14" s="34">
        <f>'Property Value Estimates'!A13</f>
        <v>2563</v>
      </c>
      <c r="B14" s="21" t="str">
        <f>'Property Value Estimates'!B13</f>
        <v>Residence &amp; Commercial Mixed</v>
      </c>
      <c r="C14" s="27">
        <f>'Property Value Estimates'!G13</f>
        <v>82.100999992200002</v>
      </c>
      <c r="D14" s="35">
        <f t="shared" ref="D14:D35" si="7">C14/$C$35</f>
        <v>3.2430562321860493E-3</v>
      </c>
      <c r="E14" s="28" t="str">
        <f>'Property Value Estimates'!N13</f>
        <v>TBD</v>
      </c>
      <c r="F14" s="29" t="str">
        <f t="shared" si="0"/>
        <v>TBD</v>
      </c>
      <c r="G14" s="29" t="str">
        <f t="shared" si="1"/>
        <v>TBD</v>
      </c>
      <c r="H14" s="27" t="str">
        <f t="shared" si="2"/>
        <v>TBD</v>
      </c>
      <c r="I14" s="36" t="str">
        <f t="shared" si="3"/>
        <v>TBD</v>
      </c>
      <c r="J14" s="43">
        <f t="shared" ref="J14:J35" si="8">$J$10*D14</f>
        <v>4099.2652372141847</v>
      </c>
      <c r="K14" s="50">
        <f t="shared" ref="K14:K35" si="9">$K$10*D14</f>
        <v>1639.706094885674</v>
      </c>
      <c r="L14" s="54">
        <f t="shared" ref="L14:L35" si="10">$L$10*D14</f>
        <v>0.63888207774065175</v>
      </c>
      <c r="M14" s="55">
        <f t="shared" ref="M14:M35" si="11">$M$10*$D14</f>
        <v>0.96643075719144267</v>
      </c>
      <c r="N14" s="64">
        <f t="shared" si="4"/>
        <v>220334.34259981127</v>
      </c>
      <c r="O14" s="64">
        <f t="shared" si="5"/>
        <v>3331.4829600798253</v>
      </c>
      <c r="P14" s="64">
        <f t="shared" si="6"/>
        <v>5851.9307426121286</v>
      </c>
      <c r="Q14" s="65">
        <f t="shared" ref="Q14:Q35" si="12">$Q$10*$D14</f>
        <v>0</v>
      </c>
      <c r="R14" s="66">
        <f t="shared" ref="R14:R35" si="13">$R$10*$D14</f>
        <v>9899.0118754046052</v>
      </c>
      <c r="S14" s="66">
        <f t="shared" ref="S14:S35" si="14">$S$10*$D14</f>
        <v>1573188.3291344368</v>
      </c>
      <c r="T14" s="66">
        <f t="shared" ref="T14:T35" si="15">$T$10*$D14</f>
        <v>1157830.7001007765</v>
      </c>
    </row>
    <row r="15" spans="1:20" ht="15" customHeight="1">
      <c r="A15" s="34">
        <f>'Property Value Estimates'!A14</f>
        <v>3037</v>
      </c>
      <c r="B15" s="21" t="str">
        <f>'Property Value Estimates'!B14</f>
        <v>Office</v>
      </c>
      <c r="C15" s="27">
        <f>'Property Value Estimates'!G14</f>
        <v>3552.2281999880001</v>
      </c>
      <c r="D15" s="35">
        <f t="shared" si="7"/>
        <v>0.14031590118527887</v>
      </c>
      <c r="E15" s="28" t="str">
        <f>'Property Value Estimates'!N14</f>
        <v>Reconstruct</v>
      </c>
      <c r="F15" s="29">
        <f t="shared" si="0"/>
        <v>302000</v>
      </c>
      <c r="G15" s="29">
        <f t="shared" si="1"/>
        <v>1072772916.396376</v>
      </c>
      <c r="H15" s="27">
        <f t="shared" si="2"/>
        <v>1072.7729163963761</v>
      </c>
      <c r="I15" s="36">
        <f t="shared" si="3"/>
        <v>302000</v>
      </c>
      <c r="J15" s="43">
        <f t="shared" si="8"/>
        <v>177361.1232049079</v>
      </c>
      <c r="K15" s="50">
        <f t="shared" si="9"/>
        <v>70944.449281963156</v>
      </c>
      <c r="L15" s="54">
        <f t="shared" si="10"/>
        <v>27.642232533499936</v>
      </c>
      <c r="M15" s="55">
        <f t="shared" si="11"/>
        <v>41.814138553213105</v>
      </c>
      <c r="N15" s="64">
        <f t="shared" si="4"/>
        <v>9533110.0142900236</v>
      </c>
      <c r="O15" s="64">
        <f t="shared" si="5"/>
        <v>144141.82189862925</v>
      </c>
      <c r="P15" s="64">
        <f t="shared" si="6"/>
        <v>253192.9380915997</v>
      </c>
      <c r="Q15" s="65">
        <f t="shared" si="12"/>
        <v>0</v>
      </c>
      <c r="R15" s="66">
        <f t="shared" si="13"/>
        <v>428296.23438410071</v>
      </c>
      <c r="S15" s="66">
        <f t="shared" si="14"/>
        <v>68066454.089161739</v>
      </c>
      <c r="T15" s="66">
        <f t="shared" si="15"/>
        <v>50095356.501145795</v>
      </c>
    </row>
    <row r="16" spans="1:20" ht="15" customHeight="1">
      <c r="A16" s="34">
        <f>'Property Value Estimates'!A15</f>
        <v>3042</v>
      </c>
      <c r="B16" s="21" t="str">
        <f>'Property Value Estimates'!B15</f>
        <v>Office</v>
      </c>
      <c r="C16" s="27">
        <f>'Property Value Estimates'!G15</f>
        <v>3333.2518860240002</v>
      </c>
      <c r="D16" s="35">
        <f t="shared" si="7"/>
        <v>0.13166615879761553</v>
      </c>
      <c r="E16" s="28" t="str">
        <f>'Property Value Estimates'!N15</f>
        <v>TBD</v>
      </c>
      <c r="F16" s="29" t="str">
        <f t="shared" si="0"/>
        <v>TBD</v>
      </c>
      <c r="G16" s="29" t="str">
        <f t="shared" si="1"/>
        <v>TBD</v>
      </c>
      <c r="H16" s="27" t="str">
        <f t="shared" si="2"/>
        <v>TBD</v>
      </c>
      <c r="I16" s="36" t="str">
        <f t="shared" si="3"/>
        <v>TBD</v>
      </c>
      <c r="J16" s="43">
        <f t="shared" si="8"/>
        <v>166427.7363802504</v>
      </c>
      <c r="K16" s="50">
        <f t="shared" si="9"/>
        <v>66571.09455210017</v>
      </c>
      <c r="L16" s="54">
        <f t="shared" si="10"/>
        <v>25.938233283130259</v>
      </c>
      <c r="M16" s="55">
        <f t="shared" si="11"/>
        <v>39.236515321689431</v>
      </c>
      <c r="N16" s="64">
        <f t="shared" si="4"/>
        <v>8945443.5767707285</v>
      </c>
      <c r="O16" s="64">
        <f t="shared" si="5"/>
        <v>135256.23148314754</v>
      </c>
      <c r="P16" s="64">
        <f t="shared" si="6"/>
        <v>237584.91597601573</v>
      </c>
      <c r="Q16" s="65">
        <f t="shared" si="12"/>
        <v>0</v>
      </c>
      <c r="R16" s="66">
        <f t="shared" si="13"/>
        <v>401894.00867956725</v>
      </c>
      <c r="S16" s="66">
        <f t="shared" si="14"/>
        <v>63870512.730131142</v>
      </c>
      <c r="T16" s="66">
        <f t="shared" si="15"/>
        <v>47007239.438911319</v>
      </c>
    </row>
    <row r="17" spans="1:20" ht="15" customHeight="1">
      <c r="A17" s="34">
        <f>'Property Value Estimates'!A16</f>
        <v>3044</v>
      </c>
      <c r="B17" s="21" t="str">
        <f>'Property Value Estimates'!B16</f>
        <v>Office</v>
      </c>
      <c r="C17" s="27">
        <f>'Property Value Estimates'!G16</f>
        <v>528.81299999220005</v>
      </c>
      <c r="D17" s="35">
        <f t="shared" si="7"/>
        <v>2.0888543324059834E-2</v>
      </c>
      <c r="E17" s="28" t="str">
        <f>'Property Value Estimates'!N16</f>
        <v>Maintenance</v>
      </c>
      <c r="F17" s="29">
        <f t="shared" si="0"/>
        <v>45300</v>
      </c>
      <c r="G17" s="29">
        <f t="shared" si="1"/>
        <v>23955228.899646662</v>
      </c>
      <c r="H17" s="27">
        <f t="shared" si="2"/>
        <v>23.955228899646663</v>
      </c>
      <c r="I17" s="36">
        <f t="shared" si="3"/>
        <v>45300</v>
      </c>
      <c r="J17" s="43">
        <f t="shared" si="8"/>
        <v>26403.390312674841</v>
      </c>
      <c r="K17" s="50">
        <f t="shared" si="9"/>
        <v>10561.356125069937</v>
      </c>
      <c r="L17" s="54">
        <f t="shared" si="10"/>
        <v>4.1150430348397871</v>
      </c>
      <c r="M17" s="55">
        <f t="shared" si="11"/>
        <v>6.22478591056983</v>
      </c>
      <c r="N17" s="64">
        <f t="shared" si="4"/>
        <v>1419174.7326169591</v>
      </c>
      <c r="O17" s="64">
        <f t="shared" si="5"/>
        <v>21458.100372834444</v>
      </c>
      <c r="P17" s="64">
        <f t="shared" si="6"/>
        <v>37692.318632432041</v>
      </c>
      <c r="Q17" s="65">
        <f t="shared" si="12"/>
        <v>0</v>
      </c>
      <c r="R17" s="66">
        <f t="shared" si="13"/>
        <v>63759.590836755327</v>
      </c>
      <c r="S17" s="66">
        <f t="shared" si="14"/>
        <v>10132914.82395263</v>
      </c>
      <c r="T17" s="66">
        <f t="shared" si="15"/>
        <v>7457594.0130026452</v>
      </c>
    </row>
    <row r="18" spans="1:20" ht="15" customHeight="1">
      <c r="A18" s="34">
        <f>'Property Value Estimates'!A17</f>
        <v>3065</v>
      </c>
      <c r="B18" s="21" t="str">
        <f>'Property Value Estimates'!B17</f>
        <v>Residence &amp; Commercial Mixed</v>
      </c>
      <c r="C18" s="27">
        <f>'Property Value Estimates'!G17</f>
        <v>177.5276999976</v>
      </c>
      <c r="D18" s="35">
        <f t="shared" si="7"/>
        <v>7.0124884461525367E-3</v>
      </c>
      <c r="E18" s="28" t="str">
        <f>'Property Value Estimates'!N17</f>
        <v>TBD</v>
      </c>
      <c r="F18" s="29" t="str">
        <f t="shared" si="0"/>
        <v>TBD</v>
      </c>
      <c r="G18" s="29" t="str">
        <f t="shared" si="1"/>
        <v>TBD</v>
      </c>
      <c r="H18" s="27" t="str">
        <f t="shared" si="2"/>
        <v>TBD</v>
      </c>
      <c r="I18" s="36" t="str">
        <f t="shared" si="3"/>
        <v>TBD</v>
      </c>
      <c r="J18" s="43">
        <f t="shared" si="8"/>
        <v>8863.8765582866072</v>
      </c>
      <c r="K18" s="50">
        <f t="shared" si="9"/>
        <v>3545.5506233146425</v>
      </c>
      <c r="L18" s="54">
        <f t="shared" si="10"/>
        <v>1.3814602238920497</v>
      </c>
      <c r="M18" s="55">
        <f t="shared" si="11"/>
        <v>2.0897215569534557</v>
      </c>
      <c r="N18" s="64">
        <f t="shared" si="4"/>
        <v>476430.84829592664</v>
      </c>
      <c r="O18" s="64">
        <f t="shared" si="5"/>
        <v>7203.6943221197862</v>
      </c>
      <c r="P18" s="64">
        <f t="shared" si="6"/>
        <v>12653.680288667339</v>
      </c>
      <c r="Q18" s="65">
        <f t="shared" si="12"/>
        <v>0</v>
      </c>
      <c r="R18" s="66">
        <f t="shared" si="13"/>
        <v>21404.718708133463</v>
      </c>
      <c r="S18" s="66">
        <f t="shared" si="14"/>
        <v>3401718.6850444856</v>
      </c>
      <c r="T18" s="66">
        <f t="shared" si="15"/>
        <v>2503587.3033827823</v>
      </c>
    </row>
    <row r="19" spans="1:20" ht="15" customHeight="1">
      <c r="A19" s="34">
        <f>'Property Value Estimates'!A18</f>
        <v>3067</v>
      </c>
      <c r="B19" s="21" t="str">
        <f>'Property Value Estimates'!B18</f>
        <v>Office</v>
      </c>
      <c r="C19" s="27">
        <f>'Property Value Estimates'!G18</f>
        <v>50.997678485000002</v>
      </c>
      <c r="D19" s="35">
        <f t="shared" si="7"/>
        <v>2.0144497515683412E-3</v>
      </c>
      <c r="E19" s="28" t="str">
        <f>'Property Value Estimates'!N18</f>
        <v>Renovate</v>
      </c>
      <c r="F19" s="29">
        <f t="shared" si="0"/>
        <v>135900</v>
      </c>
      <c r="G19" s="29">
        <f t="shared" si="1"/>
        <v>6930584.5061114999</v>
      </c>
      <c r="H19" s="27">
        <f t="shared" si="2"/>
        <v>6.9305845061114999</v>
      </c>
      <c r="I19" s="36">
        <f t="shared" si="3"/>
        <v>135900</v>
      </c>
      <c r="J19" s="43">
        <f t="shared" si="8"/>
        <v>2546.2906738291535</v>
      </c>
      <c r="K19" s="50">
        <f t="shared" si="9"/>
        <v>1018.5162695316615</v>
      </c>
      <c r="L19" s="54">
        <f t="shared" si="10"/>
        <v>0.39684660105896319</v>
      </c>
      <c r="M19" s="55">
        <f t="shared" si="11"/>
        <v>0.60030602596736571</v>
      </c>
      <c r="N19" s="64">
        <f t="shared" si="4"/>
        <v>136862.40075244565</v>
      </c>
      <c r="O19" s="64">
        <f t="shared" si="5"/>
        <v>2069.3767054304844</v>
      </c>
      <c r="P19" s="64">
        <f t="shared" si="6"/>
        <v>3634.9725649696525</v>
      </c>
      <c r="Q19" s="65">
        <f t="shared" si="12"/>
        <v>0</v>
      </c>
      <c r="R19" s="66">
        <f t="shared" si="13"/>
        <v>6148.8486740605113</v>
      </c>
      <c r="S19" s="66">
        <f t="shared" si="14"/>
        <v>977198.23891517182</v>
      </c>
      <c r="T19" s="66">
        <f t="shared" si="15"/>
        <v>719195.59797580529</v>
      </c>
    </row>
    <row r="20" spans="1:20" ht="15" customHeight="1">
      <c r="A20" s="34">
        <f>'Property Value Estimates'!A19</f>
        <v>3074</v>
      </c>
      <c r="B20" s="21" t="str">
        <f>'Property Value Estimates'!B19</f>
        <v>Residence &amp; Commercial Mixed</v>
      </c>
      <c r="C20" s="27">
        <f>'Property Value Estimates'!G19</f>
        <v>583.68239994960004</v>
      </c>
      <c r="D20" s="35">
        <f t="shared" si="7"/>
        <v>2.3055929220760975E-2</v>
      </c>
      <c r="E20" s="28" t="str">
        <f>'Property Value Estimates'!N19</f>
        <v>Renovate</v>
      </c>
      <c r="F20" s="29">
        <f t="shared" si="0"/>
        <v>135900</v>
      </c>
      <c r="G20" s="29">
        <f t="shared" si="1"/>
        <v>79322438.153150648</v>
      </c>
      <c r="H20" s="27">
        <f t="shared" si="2"/>
        <v>79.322438153150642</v>
      </c>
      <c r="I20" s="36">
        <f t="shared" si="3"/>
        <v>135900</v>
      </c>
      <c r="J20" s="43">
        <f t="shared" si="8"/>
        <v>29142.994262121741</v>
      </c>
      <c r="K20" s="50">
        <f t="shared" si="9"/>
        <v>11657.197704848697</v>
      </c>
      <c r="L20" s="54">
        <f t="shared" si="10"/>
        <v>4.542018056489912</v>
      </c>
      <c r="M20" s="55">
        <f t="shared" si="11"/>
        <v>6.8706669077867701</v>
      </c>
      <c r="N20" s="64">
        <f t="shared" si="4"/>
        <v>1566427.6670466056</v>
      </c>
      <c r="O20" s="64">
        <f t="shared" si="5"/>
        <v>23684.583253740268</v>
      </c>
      <c r="P20" s="64">
        <f t="shared" si="6"/>
        <v>41603.25672660744</v>
      </c>
      <c r="Q20" s="65">
        <f t="shared" si="12"/>
        <v>0</v>
      </c>
      <c r="R20" s="66">
        <f t="shared" si="13"/>
        <v>70375.257416044609</v>
      </c>
      <c r="S20" s="66">
        <f t="shared" si="14"/>
        <v>11184301.526280154</v>
      </c>
      <c r="T20" s="66">
        <f t="shared" si="15"/>
        <v>8231390.6265983563</v>
      </c>
    </row>
    <row r="21" spans="1:20" ht="15" customHeight="1">
      <c r="A21" s="34">
        <f>'Property Value Estimates'!A20</f>
        <v>3078</v>
      </c>
      <c r="B21" s="21" t="str">
        <f>'Property Value Estimates'!B20</f>
        <v>Office</v>
      </c>
      <c r="C21" s="27">
        <f>'Property Value Estimates'!G20</f>
        <v>636.04125246499996</v>
      </c>
      <c r="D21" s="35">
        <f t="shared" si="7"/>
        <v>2.512414645290565E-2</v>
      </c>
      <c r="E21" s="28" t="str">
        <f>'Property Value Estimates'!N20</f>
        <v>Reconstruct</v>
      </c>
      <c r="F21" s="29">
        <f t="shared" si="0"/>
        <v>302000</v>
      </c>
      <c r="G21" s="29">
        <f t="shared" si="1"/>
        <v>192084458.24442998</v>
      </c>
      <c r="H21" s="27">
        <f t="shared" si="2"/>
        <v>192.08445824442998</v>
      </c>
      <c r="I21" s="36">
        <f t="shared" si="3"/>
        <v>302000</v>
      </c>
      <c r="J21" s="43">
        <f t="shared" si="8"/>
        <v>31757.247730376628</v>
      </c>
      <c r="K21" s="50">
        <f t="shared" si="9"/>
        <v>12702.899092150652</v>
      </c>
      <c r="L21" s="54">
        <f t="shared" si="10"/>
        <v>4.9494568512224131</v>
      </c>
      <c r="M21" s="55">
        <f t="shared" si="11"/>
        <v>7.4869956429658835</v>
      </c>
      <c r="N21" s="64">
        <f t="shared" si="4"/>
        <v>1706943.0487028235</v>
      </c>
      <c r="O21" s="64">
        <f t="shared" si="5"/>
        <v>25809.193489680874</v>
      </c>
      <c r="P21" s="64">
        <f t="shared" si="6"/>
        <v>45335.249987491872</v>
      </c>
      <c r="Q21" s="65">
        <f t="shared" si="12"/>
        <v>0</v>
      </c>
      <c r="R21" s="66">
        <f t="shared" si="13"/>
        <v>76688.224406480091</v>
      </c>
      <c r="S21" s="66">
        <f t="shared" si="14"/>
        <v>12187582.067466302</v>
      </c>
      <c r="T21" s="66">
        <f t="shared" si="15"/>
        <v>8969782.2036819272</v>
      </c>
    </row>
    <row r="22" spans="1:20" ht="15" customHeight="1">
      <c r="A22" s="34">
        <f>'Property Value Estimates'!A21</f>
        <v>3486</v>
      </c>
      <c r="B22" s="21" t="str">
        <f>'Property Value Estimates'!B21</f>
        <v>Apartment</v>
      </c>
      <c r="C22" s="27">
        <f>'Property Value Estimates'!G21</f>
        <v>469.25611321589997</v>
      </c>
      <c r="D22" s="35">
        <f t="shared" si="7"/>
        <v>1.8535997887977097E-2</v>
      </c>
      <c r="E22" s="28" t="str">
        <f>'Property Value Estimates'!N21</f>
        <v>Maintenance</v>
      </c>
      <c r="F22" s="29">
        <f t="shared" si="0"/>
        <v>45300</v>
      </c>
      <c r="G22" s="29">
        <f t="shared" si="1"/>
        <v>21257301.928680267</v>
      </c>
      <c r="H22" s="27">
        <f t="shared" si="2"/>
        <v>21.257301928680267</v>
      </c>
      <c r="I22" s="36">
        <f t="shared" si="3"/>
        <v>45300</v>
      </c>
      <c r="J22" s="43">
        <f t="shared" si="8"/>
        <v>23429.742298375593</v>
      </c>
      <c r="K22" s="50">
        <f t="shared" si="9"/>
        <v>9371.896919350238</v>
      </c>
      <c r="L22" s="54">
        <f t="shared" si="10"/>
        <v>3.6515915839314879</v>
      </c>
      <c r="M22" s="55">
        <f t="shared" si="11"/>
        <v>5.5237273706171752</v>
      </c>
      <c r="N22" s="64">
        <f t="shared" si="4"/>
        <v>1259341.9961534061</v>
      </c>
      <c r="O22" s="64">
        <f t="shared" si="5"/>
        <v>19041.409303669665</v>
      </c>
      <c r="P22" s="64">
        <f t="shared" si="6"/>
        <v>33447.269525921627</v>
      </c>
      <c r="Q22" s="65">
        <f t="shared" si="12"/>
        <v>0</v>
      </c>
      <c r="R22" s="66">
        <f t="shared" si="13"/>
        <v>56578.748587370632</v>
      </c>
      <c r="S22" s="66">
        <f t="shared" si="14"/>
        <v>8991708.2709878944</v>
      </c>
      <c r="T22" s="66">
        <f t="shared" si="15"/>
        <v>6617692.0395969925</v>
      </c>
    </row>
    <row r="23" spans="1:20" ht="15" customHeight="1">
      <c r="A23" s="34">
        <f>'Property Value Estimates'!A22</f>
        <v>3550</v>
      </c>
      <c r="B23" s="21" t="str">
        <f>'Property Value Estimates'!B22</f>
        <v>Office</v>
      </c>
      <c r="C23" s="27">
        <f>'Property Value Estimates'!G22</f>
        <v>875.39039998200008</v>
      </c>
      <c r="D23" s="35">
        <f t="shared" si="7"/>
        <v>3.4578632325150453E-2</v>
      </c>
      <c r="E23" s="28" t="str">
        <f>'Property Value Estimates'!N22</f>
        <v>Reconstruct</v>
      </c>
      <c r="F23" s="29">
        <f t="shared" si="0"/>
        <v>302000</v>
      </c>
      <c r="G23" s="29">
        <f t="shared" si="1"/>
        <v>264367900.79456401</v>
      </c>
      <c r="H23" s="27">
        <f t="shared" si="2"/>
        <v>264.36790079456404</v>
      </c>
      <c r="I23" s="36">
        <f t="shared" si="3"/>
        <v>302000</v>
      </c>
      <c r="J23" s="43">
        <f t="shared" si="8"/>
        <v>43707.840781210398</v>
      </c>
      <c r="K23" s="50">
        <f t="shared" si="9"/>
        <v>17483.136312484159</v>
      </c>
      <c r="L23" s="54">
        <f t="shared" si="10"/>
        <v>6.8119905680546395</v>
      </c>
      <c r="M23" s="55">
        <f t="shared" si="11"/>
        <v>10.304432432894835</v>
      </c>
      <c r="N23" s="64">
        <f t="shared" si="4"/>
        <v>2349284.0320647038</v>
      </c>
      <c r="O23" s="64">
        <f t="shared" si="5"/>
        <v>35521.469911871522</v>
      </c>
      <c r="P23" s="64">
        <f t="shared" si="6"/>
        <v>62395.39096879305</v>
      </c>
      <c r="Q23" s="65">
        <f t="shared" si="12"/>
        <v>0</v>
      </c>
      <c r="R23" s="66">
        <f t="shared" si="13"/>
        <v>105546.82605400997</v>
      </c>
      <c r="S23" s="66">
        <f t="shared" si="14"/>
        <v>16773899.962471168</v>
      </c>
      <c r="T23" s="66">
        <f t="shared" si="15"/>
        <v>12345207.485523326</v>
      </c>
    </row>
    <row r="24" spans="1:20" ht="15" customHeight="1">
      <c r="A24" s="34">
        <f>'Property Value Estimates'!A23</f>
        <v>3552</v>
      </c>
      <c r="B24" s="21" t="str">
        <f>'Property Value Estimates'!B23</f>
        <v>Residence &amp; Commercial Mixed</v>
      </c>
      <c r="C24" s="27">
        <f>'Property Value Estimates'!G23</f>
        <v>109.3163999874</v>
      </c>
      <c r="D24" s="35">
        <f t="shared" si="7"/>
        <v>4.3180866529392049E-3</v>
      </c>
      <c r="E24" s="28" t="str">
        <f>'Property Value Estimates'!N23</f>
        <v>Maintenance</v>
      </c>
      <c r="F24" s="29">
        <f t="shared" si="0"/>
        <v>45300</v>
      </c>
      <c r="G24" s="29">
        <f t="shared" si="1"/>
        <v>4952032.9194292203</v>
      </c>
      <c r="H24" s="27">
        <f t="shared" si="2"/>
        <v>4.9520329194292199</v>
      </c>
      <c r="I24" s="36">
        <f t="shared" si="3"/>
        <v>45300</v>
      </c>
      <c r="J24" s="43">
        <f t="shared" si="8"/>
        <v>5458.1176644416437</v>
      </c>
      <c r="K24" s="50">
        <f t="shared" si="9"/>
        <v>2183.2470657766576</v>
      </c>
      <c r="L24" s="54">
        <f t="shared" si="10"/>
        <v>0.85066307062902335</v>
      </c>
      <c r="M24" s="55">
        <f t="shared" si="11"/>
        <v>1.2867898225758831</v>
      </c>
      <c r="N24" s="64">
        <f t="shared" si="4"/>
        <v>293372.27474561945</v>
      </c>
      <c r="O24" s="64">
        <f t="shared" si="5"/>
        <v>4435.825676299839</v>
      </c>
      <c r="P24" s="64">
        <f t="shared" si="6"/>
        <v>7791.768697320691</v>
      </c>
      <c r="Q24" s="65">
        <f t="shared" si="12"/>
        <v>0</v>
      </c>
      <c r="R24" s="66">
        <f t="shared" si="13"/>
        <v>13180.403914136976</v>
      </c>
      <c r="S24" s="66">
        <f t="shared" si="14"/>
        <v>2094679.536905861</v>
      </c>
      <c r="T24" s="66">
        <f t="shared" si="15"/>
        <v>1541636.3252814538</v>
      </c>
    </row>
    <row r="25" spans="1:20" ht="15" customHeight="1">
      <c r="A25" s="34">
        <f>'Property Value Estimates'!A24</f>
        <v>3554</v>
      </c>
      <c r="B25" s="21" t="str">
        <f>'Property Value Estimates'!B24</f>
        <v>Office</v>
      </c>
      <c r="C25" s="27">
        <f>'Property Value Estimates'!G24</f>
        <v>2148.6500414729999</v>
      </c>
      <c r="D25" s="35">
        <f t="shared" si="7"/>
        <v>8.487342308190933E-2</v>
      </c>
      <c r="E25" s="28" t="str">
        <f>'Property Value Estimates'!N24</f>
        <v>Renovate</v>
      </c>
      <c r="F25" s="29">
        <f t="shared" si="0"/>
        <v>135900</v>
      </c>
      <c r="G25" s="29">
        <f t="shared" si="1"/>
        <v>292001540.6361807</v>
      </c>
      <c r="H25" s="27">
        <f t="shared" si="2"/>
        <v>292.00154063618072</v>
      </c>
      <c r="I25" s="36">
        <f t="shared" si="3"/>
        <v>135900</v>
      </c>
      <c r="J25" s="43">
        <f t="shared" si="8"/>
        <v>107281.11013003346</v>
      </c>
      <c r="K25" s="50">
        <f t="shared" si="9"/>
        <v>42912.444052013387</v>
      </c>
      <c r="L25" s="54">
        <f t="shared" si="10"/>
        <v>16.720064347136137</v>
      </c>
      <c r="M25" s="55">
        <f t="shared" si="11"/>
        <v>25.292280078408979</v>
      </c>
      <c r="N25" s="64">
        <f t="shared" si="4"/>
        <v>5766329.2092664884</v>
      </c>
      <c r="O25" s="64">
        <f t="shared" si="5"/>
        <v>87187.62257490374</v>
      </c>
      <c r="P25" s="64">
        <f t="shared" si="6"/>
        <v>153149.79396116053</v>
      </c>
      <c r="Q25" s="65">
        <f t="shared" si="12"/>
        <v>0</v>
      </c>
      <c r="R25" s="66">
        <f t="shared" si="13"/>
        <v>259065.20357426259</v>
      </c>
      <c r="S25" s="66">
        <f t="shared" si="14"/>
        <v>41171619.943248987</v>
      </c>
      <c r="T25" s="66">
        <f t="shared" si="15"/>
        <v>30301372.480561703</v>
      </c>
    </row>
    <row r="26" spans="1:20" ht="15" customHeight="1">
      <c r="A26" s="34">
        <f>'Property Value Estimates'!A25</f>
        <v>3562</v>
      </c>
      <c r="B26" s="21" t="str">
        <f>'Property Value Estimates'!B25</f>
        <v>Office</v>
      </c>
      <c r="C26" s="27">
        <f>'Property Value Estimates'!G25</f>
        <v>1778.1375400479999</v>
      </c>
      <c r="D26" s="35">
        <f t="shared" si="7"/>
        <v>7.023787811944425E-2</v>
      </c>
      <c r="E26" s="28" t="str">
        <f>'Property Value Estimates'!N25</f>
        <v>Renovate</v>
      </c>
      <c r="F26" s="29">
        <f t="shared" si="0"/>
        <v>135900</v>
      </c>
      <c r="G26" s="29">
        <f t="shared" si="1"/>
        <v>241648891.69252318</v>
      </c>
      <c r="H26" s="27">
        <f t="shared" si="2"/>
        <v>241.64889169252319</v>
      </c>
      <c r="I26" s="36">
        <f t="shared" si="3"/>
        <v>135900</v>
      </c>
      <c r="J26" s="43">
        <f t="shared" si="8"/>
        <v>88781.591035393081</v>
      </c>
      <c r="K26" s="50">
        <f t="shared" si="9"/>
        <v>35512.636414157234</v>
      </c>
      <c r="L26" s="54">
        <f t="shared" si="10"/>
        <v>13.836861989530517</v>
      </c>
      <c r="M26" s="55">
        <f t="shared" si="11"/>
        <v>20.930887679594388</v>
      </c>
      <c r="N26" s="64">
        <f t="shared" si="4"/>
        <v>4771985.3104803003</v>
      </c>
      <c r="O26" s="64">
        <f t="shared" si="5"/>
        <v>72153.017818430511</v>
      </c>
      <c r="P26" s="64">
        <f t="shared" si="6"/>
        <v>126740.69422038918</v>
      </c>
      <c r="Q26" s="65">
        <f t="shared" si="12"/>
        <v>0</v>
      </c>
      <c r="R26" s="66">
        <f t="shared" si="13"/>
        <v>214392.08568361096</v>
      </c>
      <c r="S26" s="66">
        <f t="shared" si="14"/>
        <v>34071999.438071303</v>
      </c>
      <c r="T26" s="66">
        <f t="shared" si="15"/>
        <v>25076213.847149763</v>
      </c>
    </row>
    <row r="27" spans="1:20" ht="15" customHeight="1">
      <c r="A27" s="34">
        <f>'Property Value Estimates'!A26</f>
        <v>4050</v>
      </c>
      <c r="B27" s="21" t="str">
        <f>'Property Value Estimates'!B26</f>
        <v>Office</v>
      </c>
      <c r="C27" s="27">
        <f>'Property Value Estimates'!G26</f>
        <v>6231.0233430450007</v>
      </c>
      <c r="D27" s="35">
        <f t="shared" si="7"/>
        <v>0.24613048668686935</v>
      </c>
      <c r="E27" s="28" t="str">
        <f>'Property Value Estimates'!N26</f>
        <v>Renovate</v>
      </c>
      <c r="F27" s="29">
        <f t="shared" si="0"/>
        <v>135900</v>
      </c>
      <c r="G27" s="29">
        <f t="shared" si="1"/>
        <v>846796072.31981564</v>
      </c>
      <c r="H27" s="27">
        <f t="shared" si="2"/>
        <v>846.79607231981561</v>
      </c>
      <c r="I27" s="36">
        <f t="shared" si="3"/>
        <v>135900</v>
      </c>
      <c r="J27" s="43">
        <f t="shared" si="8"/>
        <v>311112.1348685298</v>
      </c>
      <c r="K27" s="50">
        <f t="shared" si="9"/>
        <v>124444.85394741192</v>
      </c>
      <c r="L27" s="54">
        <f t="shared" si="10"/>
        <v>48.48770587731326</v>
      </c>
      <c r="M27" s="55">
        <f t="shared" si="11"/>
        <v>73.346885032687069</v>
      </c>
      <c r="N27" s="64">
        <f t="shared" si="4"/>
        <v>16722188.91541311</v>
      </c>
      <c r="O27" s="64">
        <f t="shared" si="5"/>
        <v>252841.59867950712</v>
      </c>
      <c r="P27" s="64">
        <f t="shared" si="6"/>
        <v>444129.99917860993</v>
      </c>
      <c r="Q27" s="65">
        <f t="shared" si="12"/>
        <v>0</v>
      </c>
      <c r="R27" s="66">
        <f t="shared" si="13"/>
        <v>751281.64181417727</v>
      </c>
      <c r="S27" s="66">
        <f t="shared" si="14"/>
        <v>119396514.08355477</v>
      </c>
      <c r="T27" s="66">
        <f t="shared" si="15"/>
        <v>87873108.979275346</v>
      </c>
    </row>
    <row r="28" spans="1:20" ht="15" customHeight="1">
      <c r="A28" s="34">
        <f>'Property Value Estimates'!A27</f>
        <v>4062</v>
      </c>
      <c r="B28" s="21" t="str">
        <f>'Property Value Estimates'!B27</f>
        <v>Office</v>
      </c>
      <c r="C28" s="27">
        <f>'Property Value Estimates'!G27</f>
        <v>1062.953100018</v>
      </c>
      <c r="D28" s="35">
        <f t="shared" si="7"/>
        <v>4.1987511429365763E-2</v>
      </c>
      <c r="E28" s="28" t="str">
        <f>'Property Value Estimates'!N27</f>
        <v>Renovate</v>
      </c>
      <c r="F28" s="29">
        <f t="shared" si="0"/>
        <v>135900</v>
      </c>
      <c r="G28" s="29">
        <f t="shared" si="1"/>
        <v>144455326.2924462</v>
      </c>
      <c r="H28" s="27">
        <f t="shared" si="2"/>
        <v>144.45532629244619</v>
      </c>
      <c r="I28" s="36">
        <f t="shared" si="3"/>
        <v>135900</v>
      </c>
      <c r="J28" s="43">
        <f t="shared" si="8"/>
        <v>53072.760284366908</v>
      </c>
      <c r="K28" s="50">
        <f t="shared" si="9"/>
        <v>21229.104113746762</v>
      </c>
      <c r="L28" s="54">
        <f t="shared" si="10"/>
        <v>8.2715397515850562</v>
      </c>
      <c r="M28" s="55">
        <f t="shared" si="11"/>
        <v>12.512278405950997</v>
      </c>
      <c r="N28" s="64">
        <f t="shared" si="4"/>
        <v>2852645.7963867444</v>
      </c>
      <c r="O28" s="64">
        <f t="shared" si="5"/>
        <v>43132.363070004336</v>
      </c>
      <c r="P28" s="64">
        <f t="shared" si="6"/>
        <v>75764.338126711737</v>
      </c>
      <c r="Q28" s="65">
        <f t="shared" si="12"/>
        <v>0</v>
      </c>
      <c r="R28" s="66">
        <f t="shared" si="13"/>
        <v>128161.47624360217</v>
      </c>
      <c r="S28" s="66">
        <f t="shared" si="14"/>
        <v>20367905.525200143</v>
      </c>
      <c r="T28" s="66">
        <f t="shared" si="15"/>
        <v>14990313.541674962</v>
      </c>
    </row>
    <row r="29" spans="1:20" ht="15" customHeight="1">
      <c r="A29" s="34">
        <f>'Property Value Estimates'!A28</f>
        <v>4560</v>
      </c>
      <c r="B29" s="21" t="str">
        <f>'Property Value Estimates'!B28</f>
        <v>Residence &amp; Commercial Mixed</v>
      </c>
      <c r="C29" s="27">
        <f>'Property Value Estimates'!G28</f>
        <v>194.28599998620001</v>
      </c>
      <c r="D29" s="35">
        <f t="shared" si="7"/>
        <v>7.674454917012039E-3</v>
      </c>
      <c r="E29" s="28" t="str">
        <f>'Property Value Estimates'!N28</f>
        <v>Maintenance</v>
      </c>
      <c r="F29" s="29">
        <f t="shared" si="0"/>
        <v>45300</v>
      </c>
      <c r="G29" s="29">
        <f t="shared" si="1"/>
        <v>8801155.7993748598</v>
      </c>
      <c r="H29" s="27">
        <f t="shared" si="2"/>
        <v>8.8011557993748593</v>
      </c>
      <c r="I29" s="36">
        <f t="shared" si="3"/>
        <v>45299.999999999993</v>
      </c>
      <c r="J29" s="43">
        <f t="shared" si="8"/>
        <v>9700.6107830171386</v>
      </c>
      <c r="K29" s="50">
        <f t="shared" si="9"/>
        <v>3880.2443132068556</v>
      </c>
      <c r="L29" s="54">
        <f t="shared" si="10"/>
        <v>1.5118676186513718</v>
      </c>
      <c r="M29" s="55">
        <f t="shared" si="11"/>
        <v>2.2869875652695875</v>
      </c>
      <c r="N29" s="64">
        <f t="shared" si="4"/>
        <v>521405.07530204603</v>
      </c>
      <c r="O29" s="64">
        <f t="shared" si="5"/>
        <v>7883.7102885176491</v>
      </c>
      <c r="P29" s="64">
        <f t="shared" si="6"/>
        <v>13848.165263351228</v>
      </c>
      <c r="Q29" s="65">
        <f t="shared" si="12"/>
        <v>0</v>
      </c>
      <c r="R29" s="66">
        <f t="shared" si="13"/>
        <v>23425.286187390779</v>
      </c>
      <c r="S29" s="66">
        <f t="shared" si="14"/>
        <v>3722834.8950870428</v>
      </c>
      <c r="T29" s="66">
        <f t="shared" si="15"/>
        <v>2739921.5040641748</v>
      </c>
    </row>
    <row r="30" spans="1:20" ht="15" customHeight="1">
      <c r="A30" s="34">
        <f>'Property Value Estimates'!A29</f>
        <v>4562</v>
      </c>
      <c r="B30" s="21" t="str">
        <f>'Property Value Estimates'!B29</f>
        <v>Office</v>
      </c>
      <c r="C30" s="27">
        <f>'Property Value Estimates'!G29</f>
        <v>333.43822500300001</v>
      </c>
      <c r="D30" s="35">
        <f t="shared" si="7"/>
        <v>1.3171080909462342E-2</v>
      </c>
      <c r="E30" s="28" t="str">
        <f>'Property Value Estimates'!N29</f>
        <v>Renovate</v>
      </c>
      <c r="F30" s="29">
        <f t="shared" si="0"/>
        <v>135900</v>
      </c>
      <c r="G30" s="29">
        <f t="shared" si="1"/>
        <v>45314254.777907699</v>
      </c>
      <c r="H30" s="27">
        <f t="shared" si="2"/>
        <v>45.314254777907699</v>
      </c>
      <c r="I30" s="36">
        <f t="shared" si="3"/>
        <v>135900</v>
      </c>
      <c r="J30" s="43">
        <f t="shared" si="8"/>
        <v>16648.417493612222</v>
      </c>
      <c r="K30" s="50">
        <f t="shared" si="9"/>
        <v>6659.3669974448894</v>
      </c>
      <c r="L30" s="54">
        <f t="shared" si="10"/>
        <v>2.5947029391640815</v>
      </c>
      <c r="M30" s="55">
        <f t="shared" si="11"/>
        <v>3.9249821110197778</v>
      </c>
      <c r="N30" s="64">
        <f t="shared" si="4"/>
        <v>894847.71331242938</v>
      </c>
      <c r="O30" s="64">
        <f t="shared" si="5"/>
        <v>13530.209923658578</v>
      </c>
      <c r="P30" s="64">
        <f t="shared" si="6"/>
        <v>23766.548517587544</v>
      </c>
      <c r="Q30" s="65">
        <f t="shared" si="12"/>
        <v>0</v>
      </c>
      <c r="R30" s="66">
        <f t="shared" si="13"/>
        <v>40203.029796617746</v>
      </c>
      <c r="S30" s="66">
        <f t="shared" si="14"/>
        <v>6389217.2337956643</v>
      </c>
      <c r="T30" s="66">
        <f t="shared" si="15"/>
        <v>4702318.0415861169</v>
      </c>
    </row>
    <row r="31" spans="1:20" ht="15" customHeight="1">
      <c r="A31" s="34">
        <f>'Property Value Estimates'!A30</f>
        <v>4569</v>
      </c>
      <c r="B31" s="21" t="str">
        <f>'Property Value Estimates'!B30</f>
        <v>Office</v>
      </c>
      <c r="C31" s="27">
        <f>'Property Value Estimates'!G30</f>
        <v>850.26853250499994</v>
      </c>
      <c r="D31" s="35">
        <f t="shared" si="7"/>
        <v>3.3586298140509854E-2</v>
      </c>
      <c r="E31" s="28" t="str">
        <f>'Property Value Estimates'!N30</f>
        <v>Renovate</v>
      </c>
      <c r="F31" s="29">
        <f t="shared" si="0"/>
        <v>135900</v>
      </c>
      <c r="G31" s="29">
        <f t="shared" si="1"/>
        <v>115551493.5674295</v>
      </c>
      <c r="H31" s="27">
        <f t="shared" si="2"/>
        <v>115.5514935674295</v>
      </c>
      <c r="I31" s="36">
        <f t="shared" si="3"/>
        <v>135900</v>
      </c>
      <c r="J31" s="43">
        <f t="shared" si="8"/>
        <v>42453.517471480285</v>
      </c>
      <c r="K31" s="50">
        <f t="shared" si="9"/>
        <v>16981.406988592113</v>
      </c>
      <c r="L31" s="54">
        <f t="shared" si="10"/>
        <v>6.6165007336804411</v>
      </c>
      <c r="M31" s="55">
        <f t="shared" si="11"/>
        <v>10.008716845871936</v>
      </c>
      <c r="N31" s="64">
        <f t="shared" si="4"/>
        <v>2281864.5103055257</v>
      </c>
      <c r="O31" s="64">
        <f t="shared" si="5"/>
        <v>34502.078267032106</v>
      </c>
      <c r="P31" s="64">
        <f t="shared" si="6"/>
        <v>60604.774184412199</v>
      </c>
      <c r="Q31" s="65">
        <f t="shared" si="12"/>
        <v>0</v>
      </c>
      <c r="R31" s="66">
        <f t="shared" si="13"/>
        <v>102517.85363575937</v>
      </c>
      <c r="S31" s="66">
        <f t="shared" si="14"/>
        <v>16292524.233495476</v>
      </c>
      <c r="T31" s="66">
        <f t="shared" si="15"/>
        <v>11990925.937046479</v>
      </c>
    </row>
    <row r="32" spans="1:20" ht="15" customHeight="1">
      <c r="A32" s="34">
        <f>'Property Value Estimates'!A31</f>
        <v>4571</v>
      </c>
      <c r="B32" s="21" t="str">
        <f>'Property Value Estimates'!B31</f>
        <v>Office</v>
      </c>
      <c r="C32" s="27">
        <f>'Property Value Estimates'!G31</f>
        <v>1081.3165518640001</v>
      </c>
      <c r="D32" s="35">
        <f t="shared" si="7"/>
        <v>4.2712882703275667E-2</v>
      </c>
      <c r="E32" s="28" t="str">
        <f>'Property Value Estimates'!N31</f>
        <v>Renovate</v>
      </c>
      <c r="F32" s="29">
        <f t="shared" si="0"/>
        <v>135900</v>
      </c>
      <c r="G32" s="29">
        <f t="shared" si="1"/>
        <v>146950919.39831761</v>
      </c>
      <c r="H32" s="27">
        <f t="shared" si="2"/>
        <v>146.95091939831761</v>
      </c>
      <c r="I32" s="36">
        <f t="shared" si="3"/>
        <v>135900</v>
      </c>
      <c r="J32" s="43">
        <f t="shared" si="8"/>
        <v>53989.639004415585</v>
      </c>
      <c r="K32" s="50">
        <f t="shared" si="9"/>
        <v>21595.855601766234</v>
      </c>
      <c r="L32" s="54">
        <f t="shared" si="10"/>
        <v>8.4144378925453065</v>
      </c>
      <c r="M32" s="55">
        <f t="shared" si="11"/>
        <v>12.728439045576149</v>
      </c>
      <c r="N32" s="64">
        <f t="shared" si="4"/>
        <v>2901927.7672608644</v>
      </c>
      <c r="O32" s="64">
        <f t="shared" si="5"/>
        <v>43877.512665246875</v>
      </c>
      <c r="P32" s="64">
        <f t="shared" si="6"/>
        <v>77073.233857680854</v>
      </c>
      <c r="Q32" s="65">
        <f t="shared" si="12"/>
        <v>0</v>
      </c>
      <c r="R32" s="66">
        <f t="shared" si="13"/>
        <v>130375.57872608406</v>
      </c>
      <c r="S32" s="66">
        <f t="shared" si="14"/>
        <v>20719779.048415381</v>
      </c>
      <c r="T32" s="66">
        <f t="shared" si="15"/>
        <v>15249284.422774354</v>
      </c>
    </row>
    <row r="33" spans="1:20" ht="15" customHeight="1">
      <c r="A33" s="34">
        <f>'Property Value Estimates'!A32</f>
        <v>5039</v>
      </c>
      <c r="B33" s="21" t="str">
        <f>'Property Value Estimates'!B32</f>
        <v>Public</v>
      </c>
      <c r="C33" s="27">
        <f>'Property Value Estimates'!G32</f>
        <v>534.19970248200002</v>
      </c>
      <c r="D33" s="35">
        <f t="shared" si="7"/>
        <v>2.1101322450771294E-2</v>
      </c>
      <c r="E33" s="28" t="str">
        <f>'Property Value Estimates'!N32</f>
        <v>Reconstruct</v>
      </c>
      <c r="F33" s="29">
        <f t="shared" si="0"/>
        <v>302000</v>
      </c>
      <c r="G33" s="29">
        <f t="shared" si="1"/>
        <v>161328310.149564</v>
      </c>
      <c r="H33" s="27">
        <f t="shared" si="2"/>
        <v>161.328310149564</v>
      </c>
      <c r="I33" s="36">
        <f t="shared" si="3"/>
        <v>302000</v>
      </c>
      <c r="J33" s="43">
        <f t="shared" si="8"/>
        <v>26672.345894966777</v>
      </c>
      <c r="K33" s="50">
        <f t="shared" si="9"/>
        <v>10668.93835798671</v>
      </c>
      <c r="L33" s="54">
        <f t="shared" si="10"/>
        <v>4.1569605228019446</v>
      </c>
      <c r="M33" s="55">
        <f t="shared" si="11"/>
        <v>6.2881940903298457</v>
      </c>
      <c r="N33" s="64">
        <f t="shared" si="4"/>
        <v>1433631.0188008498</v>
      </c>
      <c r="O33" s="64">
        <f t="shared" si="5"/>
        <v>21676.681237348799</v>
      </c>
      <c r="P33" s="64">
        <f t="shared" si="6"/>
        <v>38076.267791447892</v>
      </c>
      <c r="Q33" s="65">
        <f t="shared" si="12"/>
        <v>0</v>
      </c>
      <c r="R33" s="66">
        <f t="shared" si="13"/>
        <v>64409.071743453998</v>
      </c>
      <c r="S33" s="66">
        <f t="shared" si="14"/>
        <v>10236132.780984553</v>
      </c>
      <c r="T33" s="66">
        <f t="shared" si="15"/>
        <v>7533560.0732892705</v>
      </c>
    </row>
    <row r="34" spans="1:20" ht="15" customHeight="1">
      <c r="A34" s="34">
        <f>'Property Value Estimates'!A33</f>
        <v>5050</v>
      </c>
      <c r="B34" s="21" t="str">
        <f>'Property Value Estimates'!B33</f>
        <v>Office</v>
      </c>
      <c r="C34" s="27">
        <f>'Property Value Estimates'!G33</f>
        <v>292.519692045</v>
      </c>
      <c r="D34" s="35">
        <f t="shared" si="7"/>
        <v>1.1554765598638364E-2</v>
      </c>
      <c r="E34" s="28" t="str">
        <f>'Property Value Estimates'!N33</f>
        <v>Reconstruct</v>
      </c>
      <c r="F34" s="29">
        <f t="shared" si="0"/>
        <v>302000</v>
      </c>
      <c r="G34" s="29">
        <f t="shared" si="1"/>
        <v>88340946.997590005</v>
      </c>
      <c r="H34" s="27">
        <f t="shared" si="2"/>
        <v>88.340946997590009</v>
      </c>
      <c r="I34" s="36">
        <f t="shared" si="3"/>
        <v>302000</v>
      </c>
      <c r="J34" s="43">
        <f t="shared" si="8"/>
        <v>14605.373928631674</v>
      </c>
      <c r="K34" s="50">
        <f t="shared" si="9"/>
        <v>5842.14957145267</v>
      </c>
      <c r="L34" s="54">
        <f t="shared" si="10"/>
        <v>2.2762888229317579</v>
      </c>
      <c r="M34" s="55">
        <f t="shared" si="11"/>
        <v>3.4433201483942324</v>
      </c>
      <c r="N34" s="64">
        <f t="shared" si="4"/>
        <v>785034.70177412685</v>
      </c>
      <c r="O34" s="64">
        <f t="shared" si="5"/>
        <v>11869.823383738325</v>
      </c>
      <c r="P34" s="64">
        <f t="shared" si="6"/>
        <v>20849.989389413015</v>
      </c>
      <c r="Q34" s="65">
        <f t="shared" si="12"/>
        <v>0</v>
      </c>
      <c r="R34" s="66">
        <f t="shared" si="13"/>
        <v>35269.435276284756</v>
      </c>
      <c r="S34" s="66">
        <f t="shared" si="14"/>
        <v>5605151.7717313273</v>
      </c>
      <c r="T34" s="66">
        <f t="shared" si="15"/>
        <v>4125263.7588568097</v>
      </c>
    </row>
    <row r="35" spans="1:20" ht="15" customHeight="1" thickBot="1">
      <c r="A35" s="103" t="s">
        <v>27</v>
      </c>
      <c r="B35" s="104"/>
      <c r="C35" s="37">
        <f>SUM(C13:C34)</f>
        <v>25315.934758509604</v>
      </c>
      <c r="D35" s="38">
        <f t="shared" si="7"/>
        <v>1</v>
      </c>
      <c r="E35" s="39"/>
      <c r="F35" s="39"/>
      <c r="G35" s="40">
        <f>SUMIF(G13:G34,"&lt;&gt;TBD")</f>
        <v>3775429054.2717938</v>
      </c>
      <c r="H35" s="37">
        <f>SUMIF(H13:H34,"&lt;&gt;TBD")</f>
        <v>3775.429054271794</v>
      </c>
      <c r="I35" s="41"/>
      <c r="J35" s="46">
        <f t="shared" si="8"/>
        <v>1264013</v>
      </c>
      <c r="K35" s="51">
        <f t="shared" si="9"/>
        <v>505605.2</v>
      </c>
      <c r="L35" s="56">
        <f t="shared" si="10"/>
        <v>197</v>
      </c>
      <c r="M35" s="57">
        <f t="shared" si="11"/>
        <v>298</v>
      </c>
      <c r="N35" s="67">
        <f t="shared" si="4"/>
        <v>67940339.859999999</v>
      </c>
      <c r="O35" s="68">
        <f t="shared" si="5"/>
        <v>1027266.48</v>
      </c>
      <c r="P35" s="69">
        <f t="shared" si="6"/>
        <v>1804449.36</v>
      </c>
      <c r="Q35" s="70">
        <f t="shared" si="12"/>
        <v>0</v>
      </c>
      <c r="R35" s="68">
        <f t="shared" si="13"/>
        <v>3052371.3333000001</v>
      </c>
      <c r="S35" s="68">
        <f t="shared" si="14"/>
        <v>485094372.87</v>
      </c>
      <c r="T35" s="68">
        <f t="shared" si="15"/>
        <v>357018385.5</v>
      </c>
    </row>
    <row r="36" spans="1:20" ht="15" customHeight="1">
      <c r="A36" s="108" t="s">
        <v>117</v>
      </c>
      <c r="B36" s="108"/>
      <c r="C36" s="108"/>
      <c r="D36" s="108"/>
      <c r="E36" s="108"/>
      <c r="F36" s="108"/>
      <c r="G36" s="108"/>
      <c r="H36" s="108"/>
      <c r="Q36" s="61"/>
      <c r="R36" s="61"/>
    </row>
    <row r="38" spans="1:20" ht="15" customHeight="1">
      <c r="A38" s="106" t="s">
        <v>79</v>
      </c>
      <c r="B38" s="106"/>
      <c r="C38" s="106"/>
      <c r="D38" s="106"/>
      <c r="E38" s="106"/>
    </row>
    <row r="39" spans="1:20" ht="15" customHeight="1">
      <c r="A39" s="1" t="s">
        <v>51</v>
      </c>
      <c r="B39" s="1" t="s">
        <v>30</v>
      </c>
      <c r="C39" s="1" t="s">
        <v>31</v>
      </c>
      <c r="D39" s="1" t="s">
        <v>91</v>
      </c>
      <c r="E39" s="1" t="s">
        <v>118</v>
      </c>
    </row>
    <row r="40" spans="1:20" ht="15" customHeight="1">
      <c r="A40" s="2" t="s">
        <v>56</v>
      </c>
      <c r="B40" s="17">
        <f>COUNTIF($E$13:$E$34,A40)</f>
        <v>5</v>
      </c>
      <c r="C40" s="9">
        <f>SUMIF($E$13:$E$34,A40,$C$13:$C$34)</f>
        <v>5890.3792469620003</v>
      </c>
      <c r="D40" s="4">
        <f>IFERROR(VLOOKUP(A40,$A$7:$D$9,4,FALSE()),"-")</f>
        <v>302000</v>
      </c>
      <c r="E40" s="9">
        <f>SUMIF($E$13:$E$34,A40,$H$13:$H$34)</f>
        <v>1778.8945325825241</v>
      </c>
    </row>
    <row r="41" spans="1:20" ht="15" customHeight="1">
      <c r="A41" s="2" t="s">
        <v>59</v>
      </c>
      <c r="B41" s="17">
        <f>COUNTIF($E$13:$E$34,A41)</f>
        <v>9</v>
      </c>
      <c r="C41" s="9">
        <f>SUMIF($E$13:$E$34,A41,$C$13:$C$34)</f>
        <v>14120.467412390599</v>
      </c>
      <c r="D41" s="4">
        <f>IFERROR(VLOOKUP(A41,$A$7:$D$9,4,FALSE()),"-")</f>
        <v>135900</v>
      </c>
      <c r="E41" s="9">
        <f>SUMIF($E$13:$E$34,A41,$H$13:$H$34)</f>
        <v>1918.9715213438828</v>
      </c>
    </row>
    <row r="42" spans="1:20" ht="15" customHeight="1">
      <c r="A42" s="2" t="s">
        <v>62</v>
      </c>
      <c r="B42" s="17">
        <f>COUNTIF($E$13:$E$34,A42)</f>
        <v>5</v>
      </c>
      <c r="C42" s="9">
        <f>SUMIF($E$13:$E$34,A42,$C$13:$C$34)</f>
        <v>1712.2075131432</v>
      </c>
      <c r="D42" s="4">
        <f>IFERROR(VLOOKUP(A42,$A$7:$D$9,4,FALSE()),"-")</f>
        <v>45300</v>
      </c>
      <c r="E42" s="9">
        <f>SUMIF($E$13:$E$34,A42,$H$13:$H$34)</f>
        <v>77.563000345386953</v>
      </c>
    </row>
    <row r="43" spans="1:20" ht="15" customHeight="1">
      <c r="A43" s="2" t="s">
        <v>80</v>
      </c>
      <c r="B43" s="17">
        <f>COUNTIF($E$13:$E$34,A43)</f>
        <v>3</v>
      </c>
      <c r="C43" s="9">
        <f>SUMIF($E$13:$E$34,A43,$C$13:$C$34)</f>
        <v>3592.8805860138</v>
      </c>
      <c r="D43" s="4" t="s">
        <v>119</v>
      </c>
      <c r="E43" s="9" t="s">
        <v>80</v>
      </c>
    </row>
    <row r="44" spans="1:20" ht="15" customHeight="1">
      <c r="A44" s="1" t="s">
        <v>27</v>
      </c>
      <c r="B44" s="18">
        <f>SUM(B40:B43)</f>
        <v>22</v>
      </c>
      <c r="C44" s="13">
        <f>SUM(C40:C43)</f>
        <v>25315.934758509597</v>
      </c>
      <c r="D44" s="14"/>
      <c r="E44" s="13">
        <f>SUMIF(E40:E43,"&lt;&gt;TBD")</f>
        <v>3775.429054271794</v>
      </c>
    </row>
    <row r="46" spans="1:20" ht="15" customHeight="1">
      <c r="A46" s="19" t="s">
        <v>34</v>
      </c>
    </row>
    <row r="47" spans="1:20" ht="15" customHeight="1">
      <c r="A47" s="108" t="s">
        <v>120</v>
      </c>
      <c r="B47" s="108"/>
      <c r="C47" s="108"/>
      <c r="D47" s="108"/>
      <c r="E47" s="108"/>
      <c r="F47" s="108"/>
      <c r="G47" s="108"/>
      <c r="H47" s="108"/>
    </row>
    <row r="48" spans="1:20" ht="15" customHeight="1">
      <c r="A48" s="108" t="s">
        <v>121</v>
      </c>
      <c r="B48" s="108"/>
      <c r="C48" s="108"/>
      <c r="D48" s="108"/>
      <c r="E48" s="108"/>
      <c r="F48" s="108"/>
      <c r="G48" s="108"/>
      <c r="H48" s="108"/>
    </row>
    <row r="49" spans="1:8" ht="15" customHeight="1">
      <c r="A49" s="108" t="s">
        <v>122</v>
      </c>
      <c r="B49" s="108"/>
      <c r="C49" s="108"/>
      <c r="D49" s="108"/>
      <c r="E49" s="108"/>
      <c r="F49" s="108"/>
      <c r="G49" s="108"/>
      <c r="H49" s="108"/>
    </row>
    <row r="50" spans="1:8" ht="15" customHeight="1">
      <c r="A50" s="108" t="s">
        <v>123</v>
      </c>
      <c r="B50" s="108"/>
      <c r="C50" s="108"/>
      <c r="D50" s="108"/>
      <c r="E50" s="108"/>
      <c r="F50" s="108"/>
      <c r="G50" s="108"/>
      <c r="H50" s="108"/>
    </row>
    <row r="51" spans="1:8" ht="15" customHeight="1">
      <c r="A51" s="108" t="s">
        <v>124</v>
      </c>
      <c r="B51" s="108"/>
      <c r="C51" s="108"/>
      <c r="D51" s="108"/>
      <c r="E51" s="108"/>
      <c r="F51" s="108"/>
      <c r="G51" s="108"/>
      <c r="H51" s="108"/>
    </row>
    <row r="52" spans="1:8" ht="15" customHeight="1">
      <c r="A52" s="108" t="s">
        <v>125</v>
      </c>
      <c r="B52" s="108"/>
      <c r="C52" s="108"/>
      <c r="D52" s="108"/>
      <c r="E52" s="108"/>
      <c r="F52" s="108"/>
      <c r="G52" s="108"/>
      <c r="H52" s="108"/>
    </row>
    <row r="53" spans="1:8" ht="15" customHeight="1">
      <c r="A53" s="108" t="s">
        <v>126</v>
      </c>
      <c r="B53" s="108"/>
      <c r="C53" s="108"/>
      <c r="D53" s="108"/>
      <c r="E53" s="108"/>
      <c r="F53" s="108"/>
      <c r="G53" s="108"/>
      <c r="H53" s="108"/>
    </row>
    <row r="54" spans="1:8" ht="15" customHeight="1">
      <c r="A54" s="108" t="s">
        <v>127</v>
      </c>
      <c r="B54" s="108"/>
      <c r="C54" s="108"/>
      <c r="D54" s="108"/>
      <c r="E54" s="108"/>
      <c r="F54" s="108"/>
      <c r="G54" s="108"/>
      <c r="H54" s="108"/>
    </row>
    <row r="55" spans="1:8" ht="15" customHeight="1">
      <c r="A55" s="108" t="s">
        <v>128</v>
      </c>
      <c r="B55" s="108"/>
      <c r="C55" s="108"/>
      <c r="D55" s="108"/>
      <c r="E55" s="108"/>
      <c r="F55" s="108"/>
      <c r="G55" s="108"/>
      <c r="H55" s="108"/>
    </row>
    <row r="56" spans="1:8" ht="15" customHeight="1">
      <c r="A56" s="108" t="s">
        <v>129</v>
      </c>
      <c r="B56" s="108"/>
      <c r="C56" s="108"/>
      <c r="D56" s="108"/>
      <c r="E56" s="108"/>
      <c r="F56" s="108"/>
      <c r="G56" s="108"/>
      <c r="H56" s="108"/>
    </row>
  </sheetData>
  <mergeCells count="18">
    <mergeCell ref="A1:H1"/>
    <mergeCell ref="A3:H3"/>
    <mergeCell ref="A4:D4"/>
    <mergeCell ref="F4:H4"/>
    <mergeCell ref="A11:H11"/>
    <mergeCell ref="A35:B35"/>
    <mergeCell ref="A36:H36"/>
    <mergeCell ref="A38:E38"/>
    <mergeCell ref="A47:H47"/>
    <mergeCell ref="A48:H48"/>
    <mergeCell ref="A54:H54"/>
    <mergeCell ref="A55:H55"/>
    <mergeCell ref="A56:H56"/>
    <mergeCell ref="A49:H49"/>
    <mergeCell ref="A50:H50"/>
    <mergeCell ref="A51:H51"/>
    <mergeCell ref="A52:H52"/>
    <mergeCell ref="A53:H5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1645-907D-B343-92EE-D8D505DE27FA}">
  <dimension ref="A1:T8"/>
  <sheetViews>
    <sheetView tabSelected="1" topLeftCell="I2" workbookViewId="0">
      <selection activeCell="X24" sqref="X24"/>
    </sheetView>
  </sheetViews>
  <sheetFormatPr defaultColWidth="11.42578125" defaultRowHeight="15"/>
  <cols>
    <col min="4" max="4" width="16.28515625" customWidth="1"/>
    <col min="6" max="6" width="12.85546875" customWidth="1"/>
    <col min="7" max="7" width="13.140625" customWidth="1"/>
    <col min="9" max="9" width="12.85546875" customWidth="1"/>
    <col min="11" max="11" width="13.7109375" customWidth="1"/>
    <col min="14" max="14" width="17.28515625" bestFit="1" customWidth="1"/>
    <col min="15" max="15" width="18.85546875" bestFit="1" customWidth="1"/>
    <col min="16" max="16" width="11" bestFit="1" customWidth="1"/>
    <col min="18" max="18" width="11" bestFit="1" customWidth="1"/>
    <col min="19" max="20" width="12" bestFit="1" customWidth="1"/>
  </cols>
  <sheetData>
    <row r="1" spans="1:20" ht="75.95" thickBot="1">
      <c r="A1" s="94" t="s">
        <v>130</v>
      </c>
      <c r="B1" s="94" t="s">
        <v>130</v>
      </c>
      <c r="C1" s="94" t="s">
        <v>130</v>
      </c>
      <c r="D1" s="95" t="s">
        <v>131</v>
      </c>
      <c r="E1" s="94" t="s">
        <v>130</v>
      </c>
      <c r="F1" s="95" t="s">
        <v>131</v>
      </c>
      <c r="G1" s="95" t="s">
        <v>131</v>
      </c>
      <c r="H1" s="94" t="s">
        <v>130</v>
      </c>
      <c r="I1" s="95" t="s">
        <v>131</v>
      </c>
      <c r="J1" s="94" t="s">
        <v>130</v>
      </c>
      <c r="K1" s="94" t="s">
        <v>130</v>
      </c>
      <c r="L1" s="94" t="s">
        <v>130</v>
      </c>
      <c r="M1" s="94" t="s">
        <v>130</v>
      </c>
      <c r="N1" s="94" t="s">
        <v>130</v>
      </c>
      <c r="O1" s="94" t="s">
        <v>130</v>
      </c>
      <c r="P1" s="94" t="s">
        <v>130</v>
      </c>
      <c r="Q1" s="95" t="s">
        <v>131</v>
      </c>
      <c r="R1" s="94" t="s">
        <v>130</v>
      </c>
      <c r="S1" s="94" t="s">
        <v>130</v>
      </c>
      <c r="T1" s="94" t="s">
        <v>130</v>
      </c>
    </row>
    <row r="2" spans="1:20" ht="63.95">
      <c r="A2" s="30" t="s">
        <v>14</v>
      </c>
      <c r="B2" s="71" t="s">
        <v>2</v>
      </c>
      <c r="C2" s="71" t="s">
        <v>19</v>
      </c>
      <c r="D2" s="72" t="s">
        <v>110</v>
      </c>
      <c r="E2" s="71" t="s">
        <v>26</v>
      </c>
      <c r="F2" s="71" t="s">
        <v>91</v>
      </c>
      <c r="G2" s="71" t="s">
        <v>111</v>
      </c>
      <c r="H2" s="71" t="s">
        <v>112</v>
      </c>
      <c r="I2" s="73" t="s">
        <v>113</v>
      </c>
      <c r="J2" s="74" t="s">
        <v>132</v>
      </c>
      <c r="K2" s="75" t="s">
        <v>133</v>
      </c>
      <c r="L2" s="76" t="s">
        <v>134</v>
      </c>
      <c r="M2" s="77" t="s">
        <v>135</v>
      </c>
      <c r="N2" s="78" t="s">
        <v>102</v>
      </c>
      <c r="O2" s="78" t="s">
        <v>136</v>
      </c>
      <c r="P2" s="78" t="s">
        <v>137</v>
      </c>
      <c r="Q2" s="79" t="s">
        <v>105</v>
      </c>
      <c r="R2" s="80" t="s">
        <v>138</v>
      </c>
      <c r="S2" s="81" t="s">
        <v>139</v>
      </c>
      <c r="T2" s="81" t="s">
        <v>140</v>
      </c>
    </row>
    <row r="3" spans="1:20">
      <c r="A3" s="82">
        <v>2070</v>
      </c>
      <c r="B3" s="83" t="s">
        <v>5</v>
      </c>
      <c r="C3" s="84">
        <v>410.5</v>
      </c>
      <c r="D3" s="85">
        <v>1.6199999999999999E-2</v>
      </c>
      <c r="E3" s="86" t="s">
        <v>62</v>
      </c>
      <c r="F3" s="87" t="s">
        <v>141</v>
      </c>
      <c r="G3" s="87" t="s">
        <v>142</v>
      </c>
      <c r="H3" s="84">
        <v>18.600000000000001</v>
      </c>
      <c r="I3" s="88" t="s">
        <v>141</v>
      </c>
      <c r="J3" s="89">
        <v>20497.87</v>
      </c>
      <c r="K3" s="89">
        <v>8199.15</v>
      </c>
      <c r="L3" s="90">
        <v>3.19</v>
      </c>
      <c r="M3" s="91">
        <v>4.83</v>
      </c>
      <c r="N3" s="97" t="s">
        <v>143</v>
      </c>
      <c r="O3" s="97">
        <v>16658.669999999998</v>
      </c>
      <c r="P3" s="97">
        <v>29261.86</v>
      </c>
      <c r="Q3" s="98" t="s">
        <v>144</v>
      </c>
      <c r="R3" s="99">
        <v>49498.8</v>
      </c>
      <c r="S3" s="99">
        <v>7866535.6600000001</v>
      </c>
      <c r="T3" s="99">
        <v>5789590.6799999997</v>
      </c>
    </row>
    <row r="7" spans="1:20">
      <c r="P7" s="81"/>
      <c r="Q7" s="81"/>
      <c r="S7" s="81"/>
      <c r="T7" s="81"/>
    </row>
    <row r="8" spans="1:20">
      <c r="P8" s="93"/>
      <c r="Q8" s="93"/>
      <c r="S8" s="93"/>
      <c r="T8" s="9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7505-E00F-4C4C-A0E4-84238E13C1BF}">
  <dimension ref="A1:B2"/>
  <sheetViews>
    <sheetView workbookViewId="0"/>
  </sheetViews>
  <sheetFormatPr defaultColWidth="11.42578125" defaultRowHeight="15"/>
  <cols>
    <col min="1" max="1" width="18.7109375" bestFit="1" customWidth="1"/>
    <col min="2" max="2" width="13.28515625" bestFit="1" customWidth="1"/>
  </cols>
  <sheetData>
    <row r="1" spans="1:2" ht="32.1">
      <c r="A1" s="96" t="s">
        <v>115</v>
      </c>
      <c r="B1" s="96" t="s">
        <v>116</v>
      </c>
    </row>
    <row r="2" spans="1:2">
      <c r="A2" s="92">
        <v>16658.669999999998</v>
      </c>
      <c r="B2" s="92">
        <v>29261.86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2026-06-15T06:51:26Z</dcterms:created>
  <dcterms:modified xsi:type="dcterms:W3CDTF">2026-06-16T12:41:16Z</dcterms:modified>
  <cp:category/>
  <cp:contentStatus/>
</cp:coreProperties>
</file>